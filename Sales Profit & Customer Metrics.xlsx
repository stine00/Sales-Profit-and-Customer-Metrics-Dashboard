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Downloads\Project 1 - Sales Profit and Customer Metrics Dashboard\"/>
    </mc:Choice>
  </mc:AlternateContent>
  <xr:revisionPtr revIDLastSave="0" documentId="13_ncr:1_{0C52C45E-1D1F-4581-B0F9-94CDC77F873A}" xr6:coauthVersionLast="47" xr6:coauthVersionMax="47" xr10:uidLastSave="{00000000-0000-0000-0000-000000000000}"/>
  <bookViews>
    <workbookView xWindow="-120" yWindow="-120" windowWidth="29040" windowHeight="15840" activeTab="3" xr2:uid="{BCE64C4F-A7B2-411A-A9BF-D7BB2C6F11BB}"/>
  </bookViews>
  <sheets>
    <sheet name="Raw Data" sheetId="2" r:id="rId1"/>
    <sheet name="Cleaned Data" sheetId="1" r:id="rId2"/>
    <sheet name="Pivot" sheetId="7" r:id="rId3"/>
    <sheet name="Dashboard" sheetId="8" r:id="rId4"/>
  </sheets>
  <definedNames>
    <definedName name="_xlchart.v2.4" hidden="1">Pivot!$O$13:$O$17</definedName>
    <definedName name="_xlchart.v2.5" hidden="1">Pivot!$P$12</definedName>
    <definedName name="_xlchart.v2.6" hidden="1">Pivot!$P$13:$P$17</definedName>
    <definedName name="_xlchart.v5.0" hidden="1">Pivot!$R$12</definedName>
    <definedName name="_xlchart.v5.1" hidden="1">Pivot!$R$13:$R$17</definedName>
    <definedName name="_xlchart.v5.10" hidden="1">Pivot!$S$13:$S$17</definedName>
    <definedName name="_xlchart.v5.2" hidden="1">Pivot!$S$12</definedName>
    <definedName name="_xlchart.v5.3" hidden="1">Pivot!$S$13:$S$17</definedName>
    <definedName name="_xlchart.v5.7" hidden="1">Pivot!$R$12</definedName>
    <definedName name="_xlchart.v5.8" hidden="1">Pivot!$R$13:$R$17</definedName>
    <definedName name="_xlchart.v5.9" hidden="1">Pivot!$S$12</definedName>
    <definedName name="Slicer_Month">#N/A</definedName>
    <definedName name="Slicer_Quarter">#N/A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4" i="7" l="1"/>
  <c r="B18" i="7"/>
  <c r="B9" i="7"/>
  <c r="B19" i="7" l="1"/>
  <c r="B10" i="7"/>
  <c r="B12" i="7"/>
  <c r="B13" i="7"/>
  <c r="B15" i="7"/>
  <c r="B16" i="7"/>
  <c r="R14" i="7"/>
  <c r="R15" i="7"/>
  <c r="R16" i="7"/>
  <c r="R17" i="7"/>
  <c r="R13" i="7"/>
  <c r="O14" i="7"/>
  <c r="O15" i="7"/>
  <c r="O16" i="7"/>
  <c r="O17" i="7"/>
  <c r="O13" i="7"/>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B27" i="7"/>
  <c r="B26" i="7"/>
  <c r="B25" i="7"/>
  <c r="S17" i="7"/>
  <c r="S14" i="7"/>
  <c r="S15" i="7"/>
  <c r="S16" i="7"/>
  <c r="S13" i="7"/>
  <c r="P14" i="7"/>
  <c r="P15" i="7"/>
  <c r="P16" i="7"/>
  <c r="P17" i="7"/>
  <c r="P13" i="7"/>
</calcChain>
</file>

<file path=xl/sharedStrings.xml><?xml version="1.0" encoding="utf-8"?>
<sst xmlns="http://schemas.openxmlformats.org/spreadsheetml/2006/main" count="487" uniqueCount="63">
  <si>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</si>
  <si>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</si>
  <si>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</si>
  <si>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</si>
  <si>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</si>
  <si>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</si>
  <si>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</si>
  <si>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</si>
  <si>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</si>
  <si>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</si>
  <si>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</si>
  <si>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</si>
  <si>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</si>
  <si>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</si>
  <si>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</si>
  <si>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</si>
  <si>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</si>
  <si>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</si>
  <si>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</si>
  <si>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</si>
  <si>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</si>
  <si>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</si>
  <si>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</si>
  <si>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</si>
  <si>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</si>
  <si>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</si>
  <si>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t>
  </si>
  <si>
    <t>Quarter</t>
  </si>
  <si>
    <t>Row Labels</t>
  </si>
  <si>
    <t>Jan</t>
  </si>
  <si>
    <t>Feb</t>
  </si>
  <si>
    <t>Mar</t>
  </si>
  <si>
    <t>Apr</t>
  </si>
  <si>
    <t>May</t>
  </si>
  <si>
    <t>Jun</t>
  </si>
  <si>
    <t>Jul</t>
  </si>
  <si>
    <t>Aug</t>
  </si>
  <si>
    <t>Sep</t>
  </si>
  <si>
    <t>Oct</t>
  </si>
  <si>
    <t>Nov</t>
  </si>
  <si>
    <t>Dec</t>
  </si>
  <si>
    <t>Grand Total</t>
  </si>
  <si>
    <t>Sales vs Target Sales by Month</t>
  </si>
  <si>
    <t xml:space="preserve"> Sales</t>
  </si>
  <si>
    <t xml:space="preserve"> Target Sales</t>
  </si>
  <si>
    <t>No. of Customers by Month</t>
  </si>
  <si>
    <t>Profit vs Sales by Region</t>
  </si>
  <si>
    <t xml:space="preserve"> Profit</t>
  </si>
  <si>
    <t>Customer Satisfaction Score</t>
  </si>
  <si>
    <t>Sales by Country</t>
  </si>
  <si>
    <t xml:space="preserve"> Score</t>
  </si>
  <si>
    <t>Average of Sales Completion Rate</t>
  </si>
  <si>
    <t>Average of Profit Completion Rate</t>
  </si>
  <si>
    <t>Average of Customer Completion Rate</t>
  </si>
  <si>
    <t>Values</t>
  </si>
  <si>
    <t>Pending</t>
  </si>
  <si>
    <t>Metrics</t>
  </si>
  <si>
    <t>Profits</t>
  </si>
  <si>
    <t>No. of Customer</t>
  </si>
  <si>
    <t>Total</t>
  </si>
  <si>
    <t xml:space="preserve"> No of Customers</t>
  </si>
  <si>
    <t>KPI Workout</t>
  </si>
  <si>
    <t>Sales vs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</si>
</sst>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0.0,&quot;k&quot;"/>
    <numFmt numFmtId="169" formatCode="&quot;$&quot;#,##0"/>
  </numFmts>
  <fonts count="4">
    <font>
      <sz val="11"/>
      <color theme="1"/>
      <name val="Aptos Narrow"/>
      <family val="2"/>
      <scheme val="minor"/>
    </font>
    <font>
      <sz val="11"/>
      <color theme="1"/>
      <name val="Aptos Narrow"/>
      <family val="2"/>
      <scheme val="minor"/>
    </font>
    <font>
      <b/>
      <sz val="11"/>
      <name val="Aptos Narrow"/>
      <scheme val="minor"/>
    </font>
    <font>
      <b/>
      <sz val="11"/>
      <color theme="1"/>
      <name val="Aptos Narrow"/>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2" fillId="0" borderId="0" xfId="0" applyFont="1"/>
    <xf numFmtId="9" fontId="0" fillId="0" borderId="0" xfId="0" applyNumberFormat="1"/>
    <xf numFmtId="9" fontId="0" fillId="0" borderId="0" xfId="2" applyFont="1"/>
    <xf numFmtId="169" fontId="0" fillId="0" borderId="0" xfId="0" applyNumberFormat="1"/>
    <xf numFmtId="0" fontId="3" fillId="2" borderId="0" xfId="0" applyFont="1" applyFill="1"/>
  </cellXfs>
  <cellStyles count="3">
    <cellStyle name="Comma" xfId="1" builtinId="3"/>
    <cellStyle name="Normal" xfId="0" builtinId="0"/>
    <cellStyle name="Percent" xfId="2" builtinId="5"/>
  </cellStyles>
  <dxfs count="114">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65" formatCode="0.0,&quot;k&quot;"/>
    </dxf>
    <dxf>
      <numFmt numFmtId="13" formatCode="0%"/>
    </dxf>
    <dxf>
      <numFmt numFmtId="13" formatCode="0%"/>
    </dxf>
    <dxf>
      <numFmt numFmtId="165" formatCode="0.0,&quot;k&quot;"/>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9900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213F-439B-A890-9560BD11C003}"/>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213F-439B-A890-9560BD11C003}"/>
              </c:ext>
            </c:extLst>
          </c:dPt>
          <c:dLbls>
            <c:delete val="1"/>
          </c:dLbls>
          <c:cat>
            <c:strRef>
              <c:f>Pivot!$A$9:$A$10</c:f>
              <c:strCache>
                <c:ptCount val="2"/>
                <c:pt idx="0">
                  <c:v>Average of Sales Completion Rate</c:v>
                </c:pt>
                <c:pt idx="1">
                  <c:v>Pending</c:v>
                </c:pt>
              </c:strCache>
            </c:strRef>
          </c:cat>
          <c:val>
            <c:numRef>
              <c:f>Pivot!$B$9:$B$10</c:f>
              <c:numCache>
                <c:formatCode>0%</c:formatCode>
                <c:ptCount val="2"/>
                <c:pt idx="0">
                  <c:v>0.85555555555555574</c:v>
                </c:pt>
                <c:pt idx="1">
                  <c:v>0.14444444444444426</c:v>
                </c:pt>
              </c:numCache>
            </c:numRef>
          </c:val>
          <c:extLst>
            <c:ext xmlns:c16="http://schemas.microsoft.com/office/drawing/2014/chart" uri="{C3380CC4-5D6E-409C-BE32-E72D297353CC}">
              <c16:uniqueId val="{00000004-213F-439B-A890-9560BD11C003}"/>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371D-4C75-B051-AB2A932E66F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371D-4C75-B051-AB2A932E66F4}"/>
              </c:ext>
            </c:extLst>
          </c:dPt>
          <c:dLbls>
            <c:delete val="1"/>
          </c:dLbls>
          <c:cat>
            <c:strRef>
              <c:f>Pivot!$A$12:$A$13</c:f>
              <c:strCache>
                <c:ptCount val="2"/>
                <c:pt idx="0">
                  <c:v>Average of Profit Completion Rate</c:v>
                </c:pt>
                <c:pt idx="1">
                  <c:v>Pending</c:v>
                </c:pt>
              </c:strCache>
            </c:strRef>
          </c:cat>
          <c:val>
            <c:numRef>
              <c:f>Pivot!$B$12:$B$13</c:f>
              <c:numCache>
                <c:formatCode>0%</c:formatCode>
                <c:ptCount val="2"/>
                <c:pt idx="0">
                  <c:v>0.85492063492063519</c:v>
                </c:pt>
                <c:pt idx="1">
                  <c:v>0.14507936507936481</c:v>
                </c:pt>
              </c:numCache>
            </c:numRef>
          </c:val>
          <c:extLst>
            <c:ext xmlns:c16="http://schemas.microsoft.com/office/drawing/2014/chart" uri="{C3380CC4-5D6E-409C-BE32-E72D297353CC}">
              <c16:uniqueId val="{00000004-371D-4C75-B051-AB2A932E66F4}"/>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dLbls>
          <c:showLegendKey val="0"/>
          <c:showVal val="1"/>
          <c:showCatName val="0"/>
          <c:showSerName val="0"/>
          <c:showPercent val="0"/>
          <c:showBubbleSize val="0"/>
          <c:showLeaderLines val="0"/>
        </c:dLbls>
        <c:firstSliceAng val="0"/>
        <c:holeSize val="7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D05D-410A-B287-CEA21353EC3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D05D-410A-B287-CEA21353EC30}"/>
              </c:ext>
            </c:extLst>
          </c:dPt>
          <c:dLbls>
            <c:delete val="1"/>
          </c:dLbls>
          <c:cat>
            <c:strRef>
              <c:f>Pivot!$A$15:$A$16</c:f>
              <c:strCache>
                <c:ptCount val="2"/>
                <c:pt idx="0">
                  <c:v>Average of Customer Completion Rate</c:v>
                </c:pt>
                <c:pt idx="1">
                  <c:v>Pending</c:v>
                </c:pt>
              </c:strCache>
            </c:strRef>
          </c:cat>
          <c:val>
            <c:numRef>
              <c:f>Pivot!$B$15:$B$16</c:f>
              <c:numCache>
                <c:formatCode>0%</c:formatCode>
                <c:ptCount val="2"/>
                <c:pt idx="0">
                  <c:v>0.8447619047619046</c:v>
                </c:pt>
                <c:pt idx="1">
                  <c:v>0.1552380952380954</c:v>
                </c:pt>
              </c:numCache>
            </c:numRef>
          </c:val>
          <c:extLst>
            <c:ext xmlns:c16="http://schemas.microsoft.com/office/drawing/2014/chart" uri="{C3380CC4-5D6E-409C-BE32-E72D297353CC}">
              <c16:uniqueId val="{00000004-D05D-410A-B287-CEA21353EC3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EB0-4121-982D-1AB972255BBD}"/>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EB0-4121-982D-1AB972255BBD}"/>
              </c:ext>
            </c:extLst>
          </c:dPt>
          <c:dLbls>
            <c:delete val="1"/>
          </c:dLbls>
          <c:cat>
            <c:strRef>
              <c:f>Pivot!$A$18:$A$19</c:f>
              <c:strCache>
                <c:ptCount val="2"/>
                <c:pt idx="0">
                  <c:v>Sales vs Target</c:v>
                </c:pt>
                <c:pt idx="1">
                  <c:v>Pending</c:v>
                </c:pt>
              </c:strCache>
            </c:strRef>
          </c:cat>
          <c:val>
            <c:numRef>
              <c:f>Pivot!$B$18:$B$19</c:f>
              <c:numCache>
                <c:formatCode>0%</c:formatCode>
                <c:ptCount val="2"/>
                <c:pt idx="0">
                  <c:v>0.94228707956335067</c:v>
                </c:pt>
                <c:pt idx="1">
                  <c:v>5.7712920436649329E-2</c:v>
                </c:pt>
              </c:numCache>
            </c:numRef>
          </c:val>
          <c:extLst>
            <c:ext xmlns:c16="http://schemas.microsoft.com/office/drawing/2014/chart" uri="{C3380CC4-5D6E-409C-BE32-E72D297353CC}">
              <c16:uniqueId val="{00000004-FEB0-4121-982D-1AB972255BBD}"/>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Profit &amp; Customer Metrics.xlsx]Pivot!PivotTable4</c:name>
    <c:fmtId val="11"/>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Target by Month</a:t>
            </a:r>
            <a:endParaRPr lang="en-US"/>
          </a:p>
        </c:rich>
      </c:tx>
      <c:layout>
        <c:manualLayout>
          <c:xMode val="edge"/>
          <c:yMode val="edge"/>
          <c:x val="1.986010725006004E-2"/>
          <c:y val="5.292623198046730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56831139053073E-2"/>
          <c:y val="0.24260133475206966"/>
          <c:w val="0.93455441563709674"/>
          <c:h val="0.60566152014231311"/>
        </c:manualLayout>
      </c:layout>
      <c:barChart>
        <c:barDir val="col"/>
        <c:grouping val="stacked"/>
        <c:varyColors val="0"/>
        <c:ser>
          <c:idx val="0"/>
          <c:order val="0"/>
          <c:tx>
            <c:strRef>
              <c:f>Pivot!$E$3</c:f>
              <c:strCache>
                <c:ptCount val="1"/>
                <c:pt idx="0">
                  <c:v> Sales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0E05-437E-A7A8-610C2E0332BE}"/>
            </c:ext>
          </c:extLst>
        </c:ser>
        <c:ser>
          <c:idx val="1"/>
          <c:order val="1"/>
          <c:tx>
            <c:strRef>
              <c:f>Pivot!$F$3</c:f>
              <c:strCache>
                <c:ptCount val="1"/>
                <c:pt idx="0">
                  <c:v> Target Sales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Pivot!$F$4:$F$16</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1-0E05-437E-A7A8-610C2E0332BE}"/>
            </c:ext>
          </c:extLst>
        </c:ser>
        <c:dLbls>
          <c:dLblPos val="ctr"/>
          <c:showLegendKey val="0"/>
          <c:showVal val="1"/>
          <c:showCatName val="0"/>
          <c:showSerName val="0"/>
          <c:showPercent val="0"/>
          <c:showBubbleSize val="0"/>
        </c:dLbls>
        <c:gapWidth val="20"/>
        <c:overlap val="100"/>
        <c:axId val="1886231231"/>
        <c:axId val="1886229151"/>
      </c:barChart>
      <c:catAx>
        <c:axId val="1886231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29151"/>
        <c:crosses val="autoZero"/>
        <c:auto val="1"/>
        <c:lblAlgn val="ctr"/>
        <c:lblOffset val="100"/>
        <c:noMultiLvlLbl val="0"/>
      </c:catAx>
      <c:valAx>
        <c:axId val="1886229151"/>
        <c:scaling>
          <c:orientation val="minMax"/>
        </c:scaling>
        <c:delete val="1"/>
        <c:axPos val="l"/>
        <c:numFmt formatCode="0.0,&quot;k&quot;" sourceLinked="1"/>
        <c:majorTickMark val="out"/>
        <c:minorTickMark val="none"/>
        <c:tickLblPos val="nextTo"/>
        <c:crossAx val="1886231231"/>
        <c:crosses val="autoZero"/>
        <c:crossBetween val="between"/>
      </c:valAx>
      <c:spPr>
        <a:noFill/>
        <a:ln>
          <a:noFill/>
        </a:ln>
        <a:effectLst/>
      </c:spPr>
    </c:plotArea>
    <c:legend>
      <c:legendPos val="r"/>
      <c:layout>
        <c:manualLayout>
          <c:xMode val="edge"/>
          <c:yMode val="edge"/>
          <c:x val="0.67881670631757163"/>
          <c:y val="4.9790022218399545E-2"/>
          <c:w val="0.30129258295757638"/>
          <c:h val="0.10956132824208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 Metrics.xlsx]Pivot!PivotTable5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Count by</a:t>
            </a:r>
            <a:r>
              <a:rPr lang="en-US" baseline="0"/>
              <a:t> Month</a:t>
            </a:r>
            <a:endParaRPr lang="en-US"/>
          </a:p>
        </c:rich>
      </c:tx>
      <c:layout>
        <c:manualLayout>
          <c:xMode val="edge"/>
          <c:yMode val="edge"/>
          <c:x val="2.7976578765598791E-2"/>
          <c:y val="3.857860618837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10000"/>
                <a:lumOff val="9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Pivot!$I$3</c:f>
              <c:strCache>
                <c:ptCount val="1"/>
                <c:pt idx="0">
                  <c:v>Total</c:v>
                </c:pt>
              </c:strCache>
            </c:strRef>
          </c:tx>
          <c:spPr>
            <a:ln w="28575" cap="rnd">
              <a:solidFill>
                <a:schemeClr val="accent1"/>
              </a:solidFill>
              <a:round/>
            </a:ln>
            <a:effectLst/>
          </c:spPr>
          <c:marker>
            <c:symbol val="circle"/>
            <c:size val="5"/>
            <c:spPr>
              <a:solidFill>
                <a:schemeClr val="tx2">
                  <a:lumMod val="10000"/>
                  <a:lumOff val="90000"/>
                </a:schemeClr>
              </a:solidFill>
              <a:ln w="9525">
                <a:solidFill>
                  <a:schemeClr val="accent1"/>
                </a:solidFill>
              </a:ln>
              <a:effectLst/>
            </c:spPr>
          </c:marker>
          <c:cat>
            <c:strRef>
              <c:f>Pivot!$H$4:$H$16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Pivot!$I$4:$I$16</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1"/>
          <c:extLst>
            <c:ext xmlns:c16="http://schemas.microsoft.com/office/drawing/2014/chart" uri="{C3380CC4-5D6E-409C-BE32-E72D297353CC}">
              <c16:uniqueId val="{00000000-60C2-4721-8163-D76612565D8C}"/>
            </c:ext>
          </c:extLst>
        </c:ser>
        <c:dLbls>
          <c:showLegendKey val="0"/>
          <c:showVal val="0"/>
          <c:showCatName val="0"/>
          <c:showSerName val="0"/>
          <c:showPercent val="0"/>
          <c:showBubbleSize val="0"/>
        </c:dLbls>
        <c:marker val="1"/>
        <c:smooth val="0"/>
        <c:axId val="2133472415"/>
        <c:axId val="2133478655"/>
      </c:lineChart>
      <c:catAx>
        <c:axId val="213347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478655"/>
        <c:crosses val="autoZero"/>
        <c:auto val="1"/>
        <c:lblAlgn val="ctr"/>
        <c:lblOffset val="100"/>
        <c:noMultiLvlLbl val="0"/>
      </c:catAx>
      <c:valAx>
        <c:axId val="2133478655"/>
        <c:scaling>
          <c:orientation val="minMax"/>
        </c:scaling>
        <c:delete val="1"/>
        <c:axPos val="l"/>
        <c:numFmt formatCode="General" sourceLinked="1"/>
        <c:majorTickMark val="none"/>
        <c:minorTickMark val="none"/>
        <c:tickLblPos val="nextTo"/>
        <c:crossAx val="213347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Profit &amp; Customer Metrics.xlsx]Pivot!PivotTable6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 Sales by</a:t>
            </a:r>
            <a:r>
              <a:rPr lang="en-US" baseline="0"/>
              <a:t> Region</a:t>
            </a:r>
            <a:endParaRPr lang="en-US"/>
          </a:p>
        </c:rich>
      </c:tx>
      <c:layout>
        <c:manualLayout>
          <c:xMode val="edge"/>
          <c:yMode val="edge"/>
          <c:x val="2.5032946112042528E-2"/>
          <c:y val="4.5665501485798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0677747945188"/>
          <c:y val="0.24196192144403664"/>
          <c:w val="0.86352810053748352"/>
          <c:h val="0.68627800479256618"/>
        </c:manualLayout>
      </c:layout>
      <c:barChart>
        <c:barDir val="bar"/>
        <c:grouping val="stacked"/>
        <c:varyColors val="0"/>
        <c:ser>
          <c:idx val="0"/>
          <c:order val="0"/>
          <c:tx>
            <c:strRef>
              <c:f>Pivot!$L$3</c:f>
              <c:strCache>
                <c:ptCount val="1"/>
                <c:pt idx="0">
                  <c:v> Sales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Pivot!$K$4:$K$8</c:f>
              <c:strCache>
                <c:ptCount val="4"/>
                <c:pt idx="0">
                  <c:v>East</c:v>
                </c:pt>
                <c:pt idx="1">
                  <c:v>South</c:v>
                </c:pt>
                <c:pt idx="2">
                  <c:v>West</c:v>
                </c:pt>
                <c:pt idx="3">
                  <c:v>North</c:v>
                </c:pt>
              </c:strCache>
            </c:strRef>
          </c:cat>
          <c:val>
            <c:numRef>
              <c:f>Pivot!$L$4:$L$8</c:f>
              <c:numCache>
                <c:formatCode>0.0,"k"</c:formatCode>
                <c:ptCount val="4"/>
                <c:pt idx="0">
                  <c:v>50045</c:v>
                </c:pt>
                <c:pt idx="1">
                  <c:v>46112</c:v>
                </c:pt>
                <c:pt idx="2">
                  <c:v>38283</c:v>
                </c:pt>
                <c:pt idx="3">
                  <c:v>22921</c:v>
                </c:pt>
              </c:numCache>
            </c:numRef>
          </c:val>
          <c:extLst>
            <c:ext xmlns:c16="http://schemas.microsoft.com/office/drawing/2014/chart" uri="{C3380CC4-5D6E-409C-BE32-E72D297353CC}">
              <c16:uniqueId val="{00000000-C41D-466D-91FC-0EA784084FE4}"/>
            </c:ext>
          </c:extLst>
        </c:ser>
        <c:ser>
          <c:idx val="1"/>
          <c:order val="1"/>
          <c:tx>
            <c:strRef>
              <c:f>Pivot!$M$3</c:f>
              <c:strCache>
                <c:ptCount val="1"/>
                <c:pt idx="0">
                  <c:v> Profit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Pivot!$K$4:$K$8</c:f>
              <c:strCache>
                <c:ptCount val="4"/>
                <c:pt idx="0">
                  <c:v>East</c:v>
                </c:pt>
                <c:pt idx="1">
                  <c:v>South</c:v>
                </c:pt>
                <c:pt idx="2">
                  <c:v>West</c:v>
                </c:pt>
                <c:pt idx="3">
                  <c:v>North</c:v>
                </c:pt>
              </c:strCache>
            </c:strRef>
          </c:cat>
          <c:val>
            <c:numRef>
              <c:f>Pivot!$M$4:$M$8</c:f>
              <c:numCache>
                <c:formatCode>0.0,"k"</c:formatCode>
                <c:ptCount val="4"/>
                <c:pt idx="0">
                  <c:v>45042.857142857159</c:v>
                </c:pt>
                <c:pt idx="1">
                  <c:v>29742.857142857156</c:v>
                </c:pt>
                <c:pt idx="2">
                  <c:v>25300.857142857149</c:v>
                </c:pt>
                <c:pt idx="3">
                  <c:v>13214.285714285725</c:v>
                </c:pt>
              </c:numCache>
            </c:numRef>
          </c:val>
          <c:extLst>
            <c:ext xmlns:c16="http://schemas.microsoft.com/office/drawing/2014/chart" uri="{C3380CC4-5D6E-409C-BE32-E72D297353CC}">
              <c16:uniqueId val="{00000001-C41D-466D-91FC-0EA784084FE4}"/>
            </c:ext>
          </c:extLst>
        </c:ser>
        <c:dLbls>
          <c:dLblPos val="ctr"/>
          <c:showLegendKey val="0"/>
          <c:showVal val="1"/>
          <c:showCatName val="0"/>
          <c:showSerName val="0"/>
          <c:showPercent val="0"/>
          <c:showBubbleSize val="0"/>
        </c:dLbls>
        <c:gapWidth val="20"/>
        <c:overlap val="100"/>
        <c:axId val="1991736575"/>
        <c:axId val="1991735327"/>
      </c:barChart>
      <c:catAx>
        <c:axId val="1991736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735327"/>
        <c:crosses val="autoZero"/>
        <c:auto val="1"/>
        <c:lblAlgn val="ctr"/>
        <c:lblOffset val="100"/>
        <c:noMultiLvlLbl val="0"/>
      </c:catAx>
      <c:valAx>
        <c:axId val="1991735327"/>
        <c:scaling>
          <c:orientation val="minMax"/>
        </c:scaling>
        <c:delete val="1"/>
        <c:axPos val="b"/>
        <c:numFmt formatCode="0.0,&quot;k&quot;" sourceLinked="1"/>
        <c:majorTickMark val="out"/>
        <c:minorTickMark val="none"/>
        <c:tickLblPos val="nextTo"/>
        <c:crossAx val="1991736575"/>
        <c:crosses val="autoZero"/>
        <c:crossBetween val="between"/>
      </c:valAx>
      <c:spPr>
        <a:noFill/>
        <a:ln>
          <a:noFill/>
        </a:ln>
        <a:effectLst/>
      </c:spPr>
    </c:plotArea>
    <c:legend>
      <c:legendPos val="r"/>
      <c:layout>
        <c:manualLayout>
          <c:xMode val="edge"/>
          <c:yMode val="edge"/>
          <c:x val="0.75534309812271538"/>
          <c:y val="2.4882304746592459E-2"/>
          <c:w val="0.22457524702242596"/>
          <c:h val="0.174508993124491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Customer Satisfaction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Customer Satisfaction Score</a:t>
          </a:r>
        </a:p>
      </cx:txPr>
    </cx:title>
    <cx:plotArea>
      <cx:plotAreaRegion>
        <cx:series layoutId="funnel" uniqueId="{061B683B-20B2-4F56-81CA-BED87333D420}">
          <cx:tx>
            <cx:txData>
              <cx:f>_xlchart.v2.5</cx:f>
              <cx:v> Score</cx:v>
            </cx:txData>
          </cx:tx>
          <cx:dataLabels>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Country</a:t>
          </a:r>
        </a:p>
      </cx:txPr>
    </cx:title>
    <cx:plotArea>
      <cx:plotAreaRegion>
        <cx:series layoutId="regionMap" uniqueId="{3C729771-FF52-4023-B0AB-7B00D2739ED7}">
          <cx:tx>
            <cx:txData>
              <cx:f>_xlchart.v5.9</cx:f>
              <cx:v> Sales</cx:v>
            </cx:txData>
          </cx:tx>
          <cx:dataLabels>
            <cx:visibility seriesName="0" categoryName="0" value="1"/>
          </cx:dataLabels>
          <cx:dataId val="0"/>
          <cx:layoutPr>
            <cx:geography cultureLanguage="en-US" cultureRegion="PH" attribution="Powered by Bing">
              <cx:geoCache provider="{E9337A44-BEBE-4D9F-B70C-5C5E7DAFC167}">
                <cx:binary>zHprb904su1fafTnq7T4EsnBzAEOJe3tV2zHTtJJvgiO7VAvUpREURJ//Skn0zOJ05PMAQY412gg
aGlLxSpWrVq1qL/eb3+57x/vpl8209v5L/fb336tvXd/+e23+b5+NHfzC9PcT8M8fPIv7gfz2/Dp
U3P/+NvDdLc2Vv+GU0R/u6/vJv+4/fpff4W36cfhYri/881gXy2P037zOC+9n39w709v/XI/LNY/
Pa7hTX/7VU13sel//eXR+sbvr3f3+Ldfv/nJr7/89vxF3xn9pYd1+eUBnk1Q+oJ8/kvxr7/0g9V/
3GDkBU6f/nj2+Z+n+1+sXt4ZePLnK/m8jruHh+lxnn/5+7//fO6bVf/zcjMP+ReX8+Fpgerms0e/
fRvS//rrswvg47MrX0X9eUB+dut50P970k+e27s/IvAfiDuhL6TMqBQolZ//+Lfhz+B+xrFg6O/h
J38Y/xL+f2tNf74DXz36bBO+uvN8H/77/4N9yId+MB+b/+A20BdP0UeZhOh+nfwcv5CpEIhQ8SX5
s2+j/++s5M+D/88nn8X+nzeehz6/+r8vgfJ+uXsYpj+i8B8oAAS4I3mWcfos9PIFybJMSvwFflL0
h9Evif9vrOTPI/+PB58F/h/Xn8e9zP/v4379OC1/+P8fCHr2QkBkMynol7ROnwefvUgpEwxn7Asq
wf2vQf9ny/nzyH956lnYv1x8HvPr8j8R83/dCv7RC4s7f1d+bqJfdYMf3/3sHPT1Z4/+qBd/id3p
w99+ZZDG/+jMT2/4Jq7/LP5vn3i8mz006Qz2jVGGWMpZJgiTsC3r4+dbAr2ALoElJRwz2LmnW3aY
fP23XxF7IURGoJIyiVLYcbg1D8vTrYS+wFjCreyp/yCSiuwftOV66Hc92H/E4u///4tdzPXQWD+D
M+zXX9yXn332jTEmueAk5SjjMpU0hfv3dzdAjeDX6P+xgKdd1oM5zCX1F+btcOMv2Dt9gw7xUB23
Ys/jobtEjdouplNxdKexcIflcvww3UyzCp+61yNWJj8L5VqEci/erMXthctxIY+pcqpW82mTN0Wl
NpUOysRDVPuhe/gq5H/iBRJ/6gXlX7zg8snLr7xYOcn4sIIX/buldMV0Oh9robZU4Wu85Nvb7NCW
uqhPzTn90i2/kJY/Mw395PsACpRRkuGMMwxb9bXpuZG7RnQ0B3yMh+19S/L+nXhp3gp07M673JxG
kfe8iPbSnv3Y6z+xLCgHuxylKZMpdMKvLTdiW3uxzOaQyvRgRXexbvyI6u2yD+gnXn5nKktRJgRP
cUY4ZOWz+FYzIUvasebARadcnSjZlzptT4ZJfIGFfxnPp3B9k4/PLD2t5KudzNa0oXECS4HcrPS2
3978OGgI2NkzAwhnCDoYFJ6QkDDfGhBL23gzTd2BDm09/r7PIcMHbyF7fhddYsZLIH4DO7AkVuMn
48SW3WYzk+60m/t5e+v6dcy44nHY53NnEh9Ohm3hPKe7p+GtkZaQkoapWq5/vPCnEH8bGAQI8plU
Uplm/KkEvgpMug2JY7tpD014s5vrrBXKuosf2/g++IACBBGZpZJBYslvbfQbaUyYwcYSoGrYGRtm
9WML6AlPnrkBOJhhhLCglOJnJhbuW7zFqjlUzD84ZEuCWtX56mytwhuZUtXtSI20KhL7kxx+evP3
lrn8bJmI54WaThnXIQXL2Ut9s7+srv1Zc70d199/4uH3tQKlAiGkAOsCk+dlyebZtgOWzYGoD6Ny
F0Sl+ZqHYshlGY/6tTxOuf1CYP5l1SD8Z87xlAEUYMwz9KxAreTVbGXfHuixPx0u2Yk/qQ7xrL3M
TpJTdPpjFzF0wO9CKRm4RomkgrJnyJMkHbOEk+aw5tmRniVXw+V0SvNNPfpyPYQylDHfykqRfFJ1
2f/EWfL0+uc7KYHmpBmhmEEpw/2vSoFXHa9wg5tDfZqdjeDsdl6dZqei8CfhJCm7l/yG3TCtliEP
KuaJyNvH9jF5INfiMrvkp/JUF7JIz/kp+0lkPsf5B0t73k5Xp9M1zhCZTZd1XWrI7/nEo6Poc9er
MCkzqMqq1Clzy1s1tz+LzZ/VlwScRhRnNCWfE+Xr2Nhha0m1Ngej9Ak5yCI5iDOcryei7C6Td8m7
5txfVU7Bf/S6uqIHfJ6cpsV6MbwerqczerKr5Sc1/z2qcMFgFqYMC8mgNL7drsUNjst2qQ9+Hmz9
MmViumkRb7fzH6fl93agByIgW4gDtOD0WQ0MSV/VOOsAIYdl64u9x0unAO+arfyxoe+hGICIMSKg
82Ik5DOH1hmPZl1HMKTpfWYWkQeolXyJkf9kO7/DEp4SIQjimAKvJ+ypmX21m0yKxAq3J6Uek6M0
WYnlmW26nNifdXj8XeI8mZJPYzMBPig/F91Xpmpk5srPS1Iy1d3sl/4q+ehv2fl01Z3JUlx117Yc
r+KbbVP2Q/pR/MRR9N3m8ZRiQjKKuOQYOM23njrgpgle+6T0B3c6nVZndV4XEugTPrhLU7j84cd7
+NxehgEoUwwjEzAbgJKncHzlLsqaGPenOrHNVE5NHllS/NjC870DC4QwwlKJGSaIPUH2VxbqpcZ2
qffmsOdDLq77k+Hkxwa+c4HCS4GNIGDtiEIyfmtAY05Gviddqbeeq5pFqahf3U+S/bkVzhBwTAHc
FgHBpeIJjL9yI+myqV92g4o9ifpAxrE+70Tj/5e+cBh/EIc5BFonhbnmqeN8ZaVNyArJ2fUlHhP3
suWoutGmH47/u4hBY4TpGQxgQiHDybMtkf06B78PppRzRGpB1ZKPYqp+svHfRQysYCEYqFDgFX+e
Wm6MYZu8NeVW8WQophnqO8ce9NqfFM1zHHpyB1QuRgVmwKie9Jivg+ZXKXWFJ1PaMHCF8GjzSM2a
NyalPzGFYCSFt33d2jImEBQKEEME+g7Fzwgo70Iz97LpiqrS/SXRluP6Kput30VTjMZNRhHOuMln
RyEfWafjXGwsMYlKfLu+7qPuYtGbKU0PHUsjV72u55BPkug9d3zNPvndkSugqOiU2d6nRx1m9JHU
A6/LdNfpdZsRNxQ110YUu6jdQaQ8etVSFrSiI4yyqh/ooHO/YFGrpiaLV/Ue2OtsqtGi2kmgE23i
2p+PMZG+kH5hW5kte2uAhC5zpbK2SeM5NyTFha1bHQvcp+P2th1JleWmI3K7JZmOSKoa1YvPW1KT
Vone1zxnxmwLLKQLr+Y6QbiI7dhe9122bEcUqbyKS7O+Ft0OC3VCpkbVG4UlbmHq78ZFT6maRT+t
eVdV8022aPZyrFI/lz03lOfBcRSKbOlndIRg1kY1WV9dLYtpegW7Z13Rk4Bc4ZOwL4qlLjwQ7QhX
Ml35ZeaWYMuw0rZV3DbZq+DaSPPYxtQcWI1Cr+oYhksLi3K5hDnw92okUwdx1MSrakjHRjWTd+uh
2SYzw69BJMyRZw3gJ29WW4R27S6GGNm1cGK1eb37OKoItbgpT3HSK2pG68723oG1NWrtlVlSR/LM
ZRapTK7uw0h20+ATtPN0Ujrt+SfM6tnlPLYgISx88Wke2nnwSss2rrlBNNnzrp0SDWieVNdd9JUv
az5VTXPa8yB1e5xWN961eDdGWWR8U/JE7mO+Y+KkQnHfXsp5EHOxjtLPahGh1cXSsoGXM21lUsgp
bO/rLtpEtVvaT0UrCVA40Q6d0mQZtrJ2ndgUThPaF86ufs/bxu6VwsZMb7QLjVOYLiRehJ22s1qX
yjUnPNsqUbI1bH1ZW8hANY6dOzA04ONu7CqUmEF7UD21i8tXafUI1RTJ7xxZ+xZR0z9gYdgdH1Lu
isEvhuSeDTBTccCek5U06BZqOrKTKSMtKlv49Z3JTDvlCefifmkkH5SeefgEuRVH0CkqilQc5N4o
0/k1qBnP6azkxmp+6i0V/UETkrCi3Xpp1ALptBc7nxHEa03H95ING6S3dDIxeS1m8WbEDMpr9Mzo
fHRdak/w6Bqfrwugm0r3ahBFjYM8d321axWykC75bt0UX5Jg3VXLYKUqXX2/HXWyTfXppmFUVhYm
lPu5NY0u07FPblPiGehNdZMmBR4421QW26pXMtaC5GM29iH3su37Y0PazuXVsHdYJXtATdm2In3f
4QFjiMvG3+C1Ce8da50udELTMklMF3KjSX+0Sb9cCr6nDIrVsAtmWLvkA/P+zUJwuBHeBgRxzOSi
RpNu83GkrT+fE9dHxaFfPOJtGdd85TO/bB0M+wVJ5LzkOhm37bbelkRnBao0q0/HGosmb/em/dQB
7U1L3NG1KiDfoGuNWIa9QAGZqWQL23ExbNogNTXV7NQ+DbQtZLqMrqiMOds83m6ZRckrPIfVFKHx
CS7DkLBHnVgqT11H6+lESJ8RpfXc+CIA7bBl73G/FZltZqqqyWCQ9caILvHcuDqXVtqgNjuvterI
aGtV+83NCqXcsmLpJ8j0pBLVdNDDNMZSDM7oIyhmGhe+nSqWz0morZrqCqgnrV27nPK6qo6zdh0q
PG76PSe1bD5MsZFdKWkSzaXmnbntoaI6Va/jHnOxTsuat2H0AKaDaaZcBIcAleK86bzVw3ynl4Wy
cjO0J+fLXg/4hI5oA5bpavG44pRCqbXztBRtO2ZtLvZpCTkj46QPocni73J2EuXJLsc6551zF/3k
MMoXI3qwLPp+UgkK1fpyDVXTleOGXH25aIFCTs0SkmIRxFVq72Qzg+uYvtN2wSwn69J8Gtukzkqo
9EqoxSPdnVIbhC5aMQG0r3FJ+nzXYiZqD+n86PZxi2pM4pAotm/kuq/bxKm1olCRSKRNplpgtw+L
ME2WwywTprymKxNFVmuBFd4EQKttFg1tj1oWoZj5Avi0p0mthrl3NAf1eRzy2cjhfcZbT1RN0BbU
Xum2UcnCsFOhx/wcACVAYjjjKVwXHRo7DV1Chvd6IdtQtkbs0AhY65fCVWPW5fMwNe8G3wHwVKse
HqolagttzTh0Vm+ZiDke25SfIJ7hNoehgL4aQJB6HWXwm4owAD600i7nUviuU0kLGaVAt0wwdAKz
XgXhTJ07vJKH6LrojisMp2PeVrsMBWqmqlabWZrXY0jHViUTIbQQZF47RVZN7wyz/HHnstrAdL1w
oDN6I0qGCQgEr7f9OIxPl9eFDR8ljyJTLn2iJTPaU6SIX3dAr8ztkFpmRqjsByjdk81G2OOcZCF5
7zmKlXIz6sihls5+SAa+jAo3BrscMq595+kEyJtmI3AOuk3th7ANgD/jGIFZgSfuMWTOQTDW1McT
39Nhy8cwRlqylKWfsoDnUfGVTjifQQTVOU2jfz8ZYpYiSWZDFAzQy9sex2bLjSCRFqxF020LjRaV
WdqG22pbZFpWlG4xzyLgHAe2eEeb6qk4+NxQKIa+2R/adEu1mpPUZVpJ0Vt3OTVhE0fovsN8WECn
uZs2g2JOoKROl6ldWA7Ayn7vO9osee99/XL0Zpc5n2S82bm2fc5XlD1YX6/3DVvxlLPOTzb3Latu
hn6rIL+rlb9uMrYXqSaiOTSoY/5A58bik1hNQUdVN6D1XoyyXj6EEQLyyi4p/xRBEajLmWQGF/3q
zXKcQ0BIDdVK5mMErCDlsBJ6IccR+CCeUmZyV7MmlinICm+kFy4eSaLZu27xMA6nw1zXh2HKKqaW
rN9XRXQUu6Iz3677QIXNO0PHe73P0Rcu2VxfsI3gT2O9a8jFaZC2zNaKTSpt23CxINZK5XYD+uva
M4C4kUh/3oPhc0j20BQoa8dJhegkOay687JkPWk/VcJN2aFebFUOjXf7oadAhtJQAYnZ0W7eZkQs
6LrZ26TTJ9W+TuMnPzbJ/gZUbLK3ORCj9GyRgzSlSUYxHxriWHcTiQ9rEYH8r8cEZ3E5GYdtzt7D
nOOyy7oa3foy2FS4S2J01b0Kfsn8yVx7vB67bA1EzWO1vqsbkOTLWSRwfOCHye7HcRLEF20HFZi3
/ZgCX1jbrcu7puPNK5FMwB333qYpHDegXarWVJ0pMNH1PUi54nHbInQmvQ01Oiaj6ehbz23lcsNp
+p7CcvWpRTamL8kI894ZyPcNnfNd6j7JOzxjyIDFV+N20VTdJlluoGlfRBCWgJj3rQmy5KFJaFa0
iHVoAmSthCy7rNk/BrxJUka/xA9+0vQtATndHTsYdIJCTTcmL9sW8PZE+rWacgBwhrQaEHT7reDC
YxBZmmRpjjRo3Vw4t6P1NJkBRjq16tjeQodNQLzqY6+P2EWjr0IIZD1JaATMBqbPTTktLIsHtjVh
PeO1GIPqtB3tGZ3HyR65qzRAEK1kD9hayddeLLF5Z7Xd3yUEhIVjtVoezzabpPdyb5tRmTZd15Os
ClTnc8+mMCtW1ys7tlGnzekIRzf1YTERDeXstx29AtUr8Etsu1GWASeAJamfaKK4CLovuO0RvWlN
6gYV5spwo6Sh8yPWnd2O0wRs58xWuOrPWhRRU1gLLfqKdpvBx7FlmN2OjE+XG+s38SpBbqGFnBPW
rcp1XcdOBfDE7H2Twt4UcYVPE1QFlNS/nNMFgHgkC0mLad2WpuBbknZHOa4el6AOyE51mR2zQ48t
1ddTv9cbjFJxWcu+TTuh5NJvXZmuthqLNuJEl3YZiM4zlO1QUWQe+hxlaJohsltXwfTnbJVP7b6H
0kOo9AeSLkQq3Fk330RBo71gwjfiLJ2iQXlmkoEWGbH81sKVmyAXcb0tMxmOJkune2Z4XM5YAEHk
1dCS9fdRLzI5AkjIVXk5Db3aZ+PRyyUdQlqOfIvQCJnX63u87lSfdAEPa2nNMmqlaYXQje8a+8EM
uEFHLCr5CTXR9Wc0wth0OaewdwWH/U3PeIdNdlinSaOrwKcungYzDUC2UzF3HPos23ZTJK6GYHnP
rFeZXcRQrMDUthyoS/8J9U0ynI2uqilo8HF16/kQkyYpfEMdEMQ0QPfVO2gklxmZfK9IMkP2+aHW
ukSrqNnV0DdIn89tHTfVN6DB5nRpGiRAOx+emE9aIRNUE81SnRHcC/p2oCl0zN5V4SOtMuAmDRFv
q2RvSNGMWXiTzoyH26QdrMnxviaProJB+hDlON/jRCQwits9nvWiSboj0Uu8HVxwY07bWj/6lK5T
QRPTkwczD6F6O62tebePdd0UMTbupWwi1jkbOhD1u2mFAYaCqvAgdr+1pya1zSc8xzHJbe3Y8A4P
KVkKJjS354OZkvcJUCx5uo2DdYpFZwKMKM2Sndtl01DiaOneUOulyLsVr9M1CEL1m571ejhDHe+7
U2t8myiTBvH7aOP4e3CVDweYXMdKeZaOVSEEbToVWIITmKnptqosrMBHs8yN+uQJssyVDxm0Xjy5
FeVmCjBc7BveLnoDeKLqtmdwtg1NB3ybu8CB+w/oTW0AIvIEXn7bpRooQN2x2b+kaMvs7TZ721yn
crL4rI3RzxchgRllUiQbpb5wCR0+spRwEFm8C1lpLEwShTYuDspjHu1hwFn9ysAY4ZXlw04OtIkt
y0ETN20e2JQk5TiuYgQlKOzQaIaR4pedrXd03miYYe+BtnXyZB+F0PkUXPAXO2L2eulrEXKnuwwG
vJgttFPLPtn7edLZdZZhUx1bv4kROAlGn0CO2UcFHdFPRyraulYtfA+QFnGRDBAFuq8HJCC2V84T
Bof+I9nql8O4BFfWpBqTEw9MtFZ9BjRG6X0NbSF4lTYqg4H0esfDFC/6pU4npkJisvo9r7V7vdck
aU+CTmDm2qFUmdp3ls5nXPtqVXvi9Kp6vGc+BxIfghJOQw1uuHJjwVu9Durp5PrD7EXo1JQA3VBb
t5C3a93G91mP8bs19KM+FbxFFOSiHQos0W2ynrS61k3ufBf7632zFCqAzEsRWKQDaBF1FhXtWi1z
CPreF1WS4ah6kDHSUw3DFVGbH8X9IAnUrx6NfombhXRqrizay2XEvj3ZQ8euqynhH6pYVzdZW1XV
Oa2TbisqOFs5xjpZ4Yxq6aDyOtIJoWDEme1xgpH+TFK8+bO58/V1E8a6UyzYeFZr6ZKizixsEMwe
MEU7iDVVpp9B5duWOL1uQjcANRttWgO9nucP2s7slgYebyvTRVg42sScYzmjDebBNdw56raPpDNs
KmqQLoMKpplP0djTPo8IiqhE1TC+cTxJ35MK9q6cMZvhK4mwQUcOPIEXNXvw2WEiEKALMfXzqjY3
tpPCYkfXhNtRFEk7Qpuc99HdruMgXk26NlebBWlfTT7t3smdpBvk92ZHUJTreVZpXfFrR1q7qY1w
fTONnLfFUCf7g+2zuVd21dnLbklhCOAsgtLHbZZdNn3l2TFkpk4Oc7sks5oNfHCRy2yarlcWoLlv
YwpHk3FLPjXawIglaqKTchA7xgV8FdjXCnWpAN1VwAHHaTWlgpWs9hbG/hp0A5iSNAg2s0Nuy2G8
kusZlE/cYZMQIMtsKW9y0KDoBVtmrosu7Z1R6bS7SYms4VhNVtYwXoy6FUcMNKIFmJI1fJ9Rrx+Q
IajORzvoExqHrM7nCdPbocr4hyXAV0DF1lLYXJGt4yeuEwC91kbrC4Mr0CKw9/qxDXS+l9M4udIs
dfMpI8MO4jVazRvv5PZ+rFNzJcd+c4dkZf5qwzbUT/1pfrQTSd6HZR27ohvavQcNO2OvBjgKeMOc
tzBPIsMXNeElOujUyQLwkK0sVbRf6/08q/bhnQchNi0a1KdnTVeNTR76CsZxXFXiflxpAJG1aeJ5
No7wsY1snDzrycwSNQItMMrbuNMSGjawj0gW+Q4EPBB0hZz7D9lMm6eR1qIN+MkkZE67pUN5r6fh
ft47u+dAxhAgxVaNu2oYKGCKZ9mIYC/34BTfgv3Yr4M8lZSGNs8EwHVO+q2vyrhb+2pvUjNBdQ/A
nScYwJsi6BVINdCdpc5XBLh6JodgbjEHWWNpM2j4Y1rz162m6+tlwWZXk25ZuQDZRMUWCQyPxBuZ
gL7ch4e6FvDpx8hXYIODvqsbDBIhsL72FpkKlz0Z6Vk2aX0Yia0X1QQ4OFJ6kBVRfZWtv3OgdBVM
vm17ZYSQ7z0IE59ctc4nGCdkKUFw9j7HKU/yp5GzxPVBZ9mS5US69WqAQe11rEN/BfJbdeHZbpka
6z58wBSkpAOHLnkW9cYfWNr0vIRvlchwTlsHIBOHNr6ehE/PtRXoZbKmzudJ0seHpBZQRKDczu90
3Jb3w7IK0MySdr+T3bbXMGNyOCRpKGsvYMrv4SsrEJ61YqRf4dMFGec7BAfeULScbJ8kqBnwtnbZ
3myhI/DBDJx4LXkaU/mR+gCFB3U3uXwDiIxFdPPwgSZNH3O0ViQoEC9qBAC48luywGwLXc0tL01S
Rws5CmRCpYFnPZBrQSfQoobxtN9mC9w6TOZBpCN/m8KROHwlEHbzukln+wZ7kDkKRDczF3zf+A7k
q8Uh36rZ1IWlPoVTkq6pLv0+zUxR15BB1b2VH2RdWw6iUQUyB4lovCG8dh818CenQAZ5Ui+S1j5G
Mm1v+C6nd2zdLFQmrR9BvgSIq+D0dSiCpNNFm0Z7b+BY1yo2mGpT1CJy2qLQjqUcbfOmreclzdMB
8xuqWxiPm1j5AZIPPm0rdCp6dGA8CYOaspVzZcVKXPk/nH3Zlt0otu2vnB/gDgmBQC/3QbuN3mE7
3OSLhrsUAtQLdV9/5s7KzHLgdMaxxqgXV1WwJcSCxVqzadqQI/ktkCPsXMPY1yWnw7oTTVJ+XVEF
QaxOYqU70+gcp7lUld51nYoQSpnpvwgWzxTPN9Z3wvIQeERU98l+NWvu0pWGRX1sswKwHWIwOQfN
kgoZjsFZTmJNEXMxHV9NbYisyAxhiOjvyuRR4Ib+tAZNy1IEUfZ5dmg3phKJsEO3SyS4tlEWPCxR
xT8yeknKcJy5GGiTcOLphPZrT+d0UoCz1TORw07i1tZeWmcqT1t3idmIocR3CEOXrYeJ1rrcz24q
grRGeQHvnBW83FtM4pAWldPLLjE9jdKozMZ4P8dLv2C9NKo4oBWZufOwZrTfSYbryB12/5i+gDCh
fm/ygu8UaIUDAZXEoaR+KxxNLx6WrT00Qh5mc9KaX63tAwv1dc+e4lCf6DIc0e4/1Ezu8yTZEd4f
XHiDOt19SKt9y+4jVAPRnt7z3B35eDWi5Nmx+aqUdysxL7RT/6lFnKCxHoUhqgkJMLzPOrejtaiA
EDSiFeXtE0EH7N5W+frLvxIFaHizMKKJAE7Lw6m0chjDxA32sNZt9gFgEnHPBCHHf2+q+zgHgYJZ
jB40yrGcorJy+Tbft+57wWi4cn3gg13fBlM33qE6Ia4kEsyDNHz6RZjPH7+Hm7YESjFgEff70APq
Nsiz9KGJOhQNFo3UFYC4F5bUP74V8Jb4S0BiALd+/lYO/V4ggJgGEj0ApIyS5sw40laGKs25AR72
BdDAZYV+311HHz8M8VKAdWNhsNjr5S/NarkwkdyXl31tZuw+mGIk8Lg44NJNHipl8xde0Q8a/GRy
WReBxDbEWOC9oi6oVQ59vX1dF9m5JiXq20PP91FQVS+83Y8/hXUI3G2AY0rGLPbQNqRflzieHd8T
mlQ71jZo++eodc2jfenD+aElA5rQC1SF0ogyrJHnHw6bV7wMeN09yRSKcaqT8b5rQ1yS/n3Z/9Pv
MKDvsRwRAIJ6WBK7RHWeZAXbmymKzlwgrahnQV/Axfy4LCIGfE8CEBjgSsBeP3+bZunRFwfOaI/G
Q/Qa27pA8kZoeTRKmd+crdAtidwcvLA0fny5SDJ0eMBPCMEP+AOt9X1MWxlm04IaVRXXzRE1mvCq
5Y06/uoUAkIHNLkATANI0tibwkLjqBGrYXslu/GaFwzAyKn71f3iD0DbZQuMEkBksOU+n0I+G0Vt
otl+BGYH9/lg3FndzS9Ai/z9Ar8C9GFMBdgeYGbQ6PmvFAOuTm5oon3crTMaJll4BDOgSlGt5vsy
KNpXvzx3CWYNvA0GsqHwAb98avmEyme0D23ojh1Jxteinudv//4rPy4/kE8uaMCE88sJe1kn362D
tQYYHBXOCLXcmD4UXEQnx9v+bVYJ8mo16EApKZEc/vuv/rhbXJCr2CoEINTY4L25TNya5KNVEfbC
cE2THNXZjA1FWo3N8p+f+pNG9Oo/O+x/CDFf6mbpilz9SeX9+5///+4vfvAfRNT//vcXMvB///Uw
fusG1337n7tPTf8/R1d9/YMi7P/N5Zf//iP88J9PcuENPfsHzg3QgL9jMP2Eo/Qf9vFP/sf/G4Hp
Aqb7OYHpO+bofxlMlz/5k8EENjFAmchRgJfExp1EOG//ZDCJ6P+BuATkIf5LZG3AoP3NYCIU7CYJ
YOIlAREXlBr+7C8KEwdXDd82ToTgiJoY6dxfL/jsi4Gx9ee/v6cwPd+r8EPgwIgAmOfna5O1rs7q
TIGIYt37NVk+Z+7ddxPxfx/5BxoEz4OBOYwMKFqqC7RZO/nCEv/JQ8de8lKsy8DaOTKHJRFoJJBX
NozIxrEvwfxdsDZO4O5rskvjIlrvak7nXbbYeL9tUrxsAT0E0dtCmkM4HoOa73LgZreNfNkOvnvu
Wgd6XmRoDutcjddrFbi9NUvyZtvo3hZGs25Fn6vG1WDqxK5get3HhL3fNri3U4lFockeo1fkShOf
82r4NKF/tHFeEF3fz8sq0WRvRWBBIWjTLF9viy5/Ib342TL0z8RqnlGpwM3AJqek/2SLjZHjxSQ+
W9MkjJtDn/f0vueV+xIBUDnvNk0397KhTKK8oQtnD26JroZueWv4S5jan8zID7eKdmqn2Fb2oKWb
b2rtwrtMkvttz+1FJh8Ec92CaVH0S9ugj5j/Wtb79ybI/aiM42wWmuJD6iqNGwmAJbpU2zYU7gVm
MfamZ7Uwh6JpHzI65mfezMFx05z4TBkkNa1WxaAPvWMoWDj2NcrGjQ/uxTwYDjXQNY09dMtiv6xd
mV/1miZXm57cZz8xixZ1Pfb2wD+swOs0Gx/aC/cM3G7g/DDs1DcAxIWt3rE13LaXXDjN3+8lFRLx
Foi8C1cAWNh8Amd3nLc+uRf1owmHpi06exhF3qd2LrLdJF27bbr9KoaqbLbmEw4emVhsVsBDogfR
bZt05p3HawkweN6v9iDyotwzHlfpgqvcxkf34j6mgGavNUZv9G3v3tbNCwzgn2xWzIt6RlmlV7LY
Q0HHuzJDf6QDTnbT6mZe0MfRqoAXRuFDsugKBfHyk6p59Nu2wb3AbGPZ9/MU6YOOY/NbFwdolCV9
V23cU7zjeL3cswqG0lDWF8d1qsFmC8lLN72fTboXn7ZeXJgHmBhqbb3PeGXOYzxsPH+YF6BowAZo
H5XZvuuaFHCDHR2/bppzn35XDQAeottdHGQT7Mu5+U2FetoWPpe7wffbSphx0a4onB5Q+2FAffZn
tKia/bYH96IHvQzUxDs8uJny6zLiGqAs87htbC+CRhTqS5ResRAxbBBVT31Z/tIN/e8jOfICqEIz
NpEVhu7EAMR8JAD6mcW2FR55AWQAVWJdj8FLpVPO9x3b+NRe6Mw967sSZ85hAZxZUWywgKSEG5eJ
Fzq9rrsliBWWSUvYrlcBO8TJ8rTtU3qRYzPSVAbtxEOs0ZM/ZWGy8I8XNYhmW/YWecebEPXQqMHq
g1rRKiHvVRdt+5o+GX4RxM1ZhJFrslwPeROmZb++3TQtPl2r4Uo7wBoUANjTZ0Lcbcabdlse7rdb
wDVx86wAox2jOX4NBPAT4zn9JTGCv+OHeqGZVW1RRIkrDnmo7iqQXW6LYOq3nZx/NJK+u2smdCAB
K0qF2+C3DsiXatuFyhcX6CNl2zHHuNmEHiP4QrMz25afX1msBosrZWjUYaoOkwadRW5MfvwSNs3R
H1taC3IdtET2UVV9xIVWbYt56oVlBqKPkSDkHIrBVAdJ+iQF1G1bkkK9kARkNQGzCYM3xcdEAWSl
gm0pW5g8P9EAY9c6jxio+wACpV0TJigXhPW2tf2Hjs13yy/QAW8midGzvLlFAD3SoX6pGXo5Av7b
Sfo7bv4QPvlu7KGbcuIIgnLOP+FQNmnmzMaP6YumABUZTq68rBRL64PMh3d9nshtseOXsqcRvAea
Y3Ax8FTzE6033gP9NgZIKsjvFyyTSQ87KOhMAOiblyQXfjbf3okJZQA2qBHzXco2ADa9prs8IdPG
degdmVpf8CGEqgNdRoCjplzvGiC9T5sOB59uzcfRgaKB0etgurdm+gY67EtV/J/NixebOuuykSps
hR2RLAWO6GDWPtt28gReeLJcTsD7AWQXtxQYyhDQEvT91bbwvNSsv09naZe7PFjw6JI0u7V5FTcf
Ns134KWyXSnXIc9BY44KolM9JePjOEm5cXTvxCQTbbRRNXaVBawXm6W53JYm+739vJ6qybQYGTzm
/dKd7bpuOx4uCmffT3W3AMreJhgZUHhgwiOAWFDB2jbbXmQKESyWXM41YEfDvVp4tXNzebdtcC8w
m1ZGtgbl51Cjdw4Szgh4Dyh12wb3Dk3V2wsus8Xgw22xnMpxW9rjSxIICnG5cXXqMNTLbWPt3Tpu
Kiz9oIUSdHKdwRnFE9sUFJd+0wEvEy8SKzY5gFw7ZA9yvorD4SbK1H7LHIP99nzlJe1QSaVGxOIa
X5fTXbQUv4RQ+esEBj7l+ciABATTzHDctErr1yrqnypXmU17E4R0ng8+l11uxIxPWFv2ppN3DSA9
2ybEC8UZAoXAf+EgY8vb3B0qtWnRQb7j+ROHoJ91XY8wDFn4ZUEndwWQb1OgyMSLwiGJAeQssezm
JnOnzIDKH03JSwiZfz7CZOKFYZlb0wfzZVHXpDustAZ/wpFNRxhUHp5PS1SKaKnBlD7UedV8ErIJ
b6HdAhz2pq8pvRPSAsc9gh6rALNfZTqq+TTkJNr27NILyyYfAtkCJnjgpmvfr1nt4mMkoKGxLYKk
F5t5EBii8wa5g9WPBsh5wJLP2+bFC856FMDx9oifsgzPyoKTXJRmWwUcOJLn37RuY3ClpktwlifB
lodlbjYdN2DpPB950RFwMRTBGVXybMDtOQXRrI/b5sSLUFMa3YOCpQ7LQAGIFfm69KkA4mPrYvTC
tAtKsG0UfqADcfHGWPdVt/QlCc6fRKn0otQ1axPRKcC+Fb7lAuSDeVuvW0ovRF1m6cQuOyJVyQ4E
nn4XJ+WvYaz+PiV8SJdo64LMMwYHzv6sCqBLi01ZvfQlIq2EyFAE0vTByP6VlSQ8xoAD7zetFeGF
pljWkGaVE4cxGUBSDoLqtkW/Z1saIbzojANQscphjY+F7vJ9N7LqagHEaePoXniaKtQ4ikDBycem
PCXdsF5lQ75snHYvRIVohjkcCuyE2TTuQMVZDirWL4nO/WSVCz9GiVyXKQGx20Aj5NxBeegIhZCN
G7rwAjTISgJ2Hqiw0jXlfcKhd2QXPWycdy9CK54VC9SiQEo3YwA+Q29PRIUvLffL2vix4AFx2udb
Y4WDruJEx8dS1/qLWOf1le6jFRQHSPOFTRFv24J9OFBs1Dw00Hc+iqwLb3B6B2lW5L+mGvb3duAj
gupF0RlQS7xFElePLWujK2MTsy0biL2oDZAzQiqkiY+Dm90jh8LM2SroEmzaE2IvagvkfMBDVuAL
OxlDfmWQH0rm3MZ596K2K1cFuqKNj9VC9ZkYFb26CLw8bnt2P2rLMhnAQ4yPNWR/QG825d1EOdmW
yMRe1JKKRC0kcC5rE+zotInb9S4YONn48H7Y9hkkrwiGB34XFBIiw30p820gNRl7YSvCBerkBRbN
1KrHlszlbTPKadvNzsdng8oG1a4cX9UUZXENYtt8zsDE3LbefYQQD0IoMOfYzzib27e8rujvqi7E
xtG99LcY86Kdc0zMDKGtfRaI+uyQ9W1bM77YZxL0kagvuyUUc4bjPNUxqEhrvO2U8pFCZbSYUkFl
5AghJHWapWWHUQZmU7lS+lAhBrye7hhO2EEbeuzHaIBuWrlxQXIvVgvIsUBOk+DZeTvvh2Aqb1zM
t4HWpI/niQ2EXrSA6gHnI8RjSCF3K13MthzblwGd1zbupQsQTEXvHhTPc9A2QbLdtIv5uJ4Syp0A
I00gF0/V65Zwdu0qFm+7MnHvgHUG8hV0GuNjMNRfDfSvrqJB/5qK6d/nng/rgYSjVcEq+dFZHu/z
yLiTImQbFhYY5ee5QeTaYjXxHB8XML1/ayH6ddKiKTa15IB9fj66YbqLbBnFx3CQ5FRmTFyTBQTY
bduMD++pFEkazXocTa1bdpmMIGsp5nJbqPoAnyweFhtWCT9SSLPsymqJdxI6edu2GeaF6pg1jY4o
QpWZkrzJADTdh5C6LDdOjXeuSuHYPEZYkh1a2ze6ukjOlPO42xRNjD7/rqCJDOVsEE1tQeM0KE1x
JFKxF8Lpkrf8Q77qQ3ykpkVdwsDl6C70/blv+xvD5/HK1OD/b3sBL2JnocoVjOf4CA3X5UMTBt1j
Ul6kHP99+J+8gQ8lKhjoNYnDG3RJXd13ma12KGJh8bcCVJB//43LQvmHWfIhRaqJJRZNzI9RM8dX
iSL5Bxzj05dto3uRW41FFeI//BhLV5whEShO/RBuLC1HXj5cCnDqyMj4cV2lPs0dK4/JGGfbThIf
WERzPDiOPX6UeSFwCczECbgAu62+7COLIDTmcMHE0lGMxAfW0+IAMDfdFlm+ujhXAWkHtvLjEisI
E1XLtIugGrVxdC9ueSBV3K+4gZM+L881NP7SlTfrtmTbJ5CpC49FgO5/XDj2SiAK5VlIua0RJn10
UQgplyLXyPqCoWy+Qjszvpmg0fV203r3EUYDNxm40cj6BvALoRoxJeduKMS2jNXHGEFAESFNkG3r
YYQMDNGi+9bkNd2GAPyB1j2LuJv4gvH7ZaEslasQJ6iTkY17jQ81mkljqgr+FkfAMYb3MuiL29XW
4wv7/WVP+YedzMcaAel6EQ7FquwjM+YQOhzXXQJ1vYcygioV5AFWiBlD13pbEPgQpBEdCk2FEccI
7eB9z7rmvp5Cve2q76OQcGlbZZWhQJfbFlKVmqldCArftjTWRyLF8xTPQYMkeQEg4QmnOowyypW9
2RYE3n2WY8EsDIqFxx4aYTfoKg7HFTLW25JBH4uE7lFnLoLERyiY2nBXwYu03WEPirJtfTQfkhSi
6W5zbD3HtqTrOycz9jukVzbWcHxIkqmiaRy5wP1khPrwWLHwgfW5fSEGfnKa+6CkEorKRhCJqafh
8GokS7gT0PXfdiL6sCQZcIhJVr04Qmaxzq4yODe9GbBQybZl6SOTCNhdTUDL5Mg7l6QZCHBHsiDf
2bQsfXSSbpmTrKmTY9/r6L60ZXCbQGPvw7bRo+e5LDNcQgdLJkcJPcQ9cSJ5yqHstq02F3onbh+A
EhlC4vAoWKuvIHYLu5lmHrdtNj48qcrq1UkSJ8dsNQA/8aj8Agn6+tu2mfGS5AW8gGR0FPMek+Ud
AGFDmWqAN19vGt6HKMVCQeIZajXQdKHtsOcrVN92SZYs2wpoPkiJB1U/K1lnxwUtmbsa8q9pEHTR
tiXvI5V45CCSWVXZEXI186kNoDZeQ7t52/3El5yoC57UDLzhY2QGkroyIOdmsMnGmefPl3wB3yUL
tnJ2KUfbm2lQ0TXAKcO2cPURS6UFrSw3XXZUDXJjSF1E90PlIHG5bdl48VqoLCmlGrNjWwfQm4fy
36cSso6ft41On09NF/VL7mhFjsUEOGE8agqNG/Qft43uHbBiTuoMBQsCNesyfIKcGhwQIC/0ddvo
XrxCxDsKkByTY1Yu88FBmuI0DSTc9FmFb+ZUVqTTfWKzY95buyPdYl6JyERftjw7iB/P532BbPd8
abIdbWTpnQpJ+xZX9Jcc0f75dIVx0vPR10CVA2RGyXFsx/kDnXNznYlg3VQoEj6ciQndUOOa7Fit
Kz1Ojb4vsvLXLHn+Kv/94NiZlVPY9vWUHQUnzSFcZjiErnBM2zbtlwn7DgsNFaqqIWYkRzby5gDM
vz5BRXwb+Ej4wCaaRXBmWTmBbaTN16vWNu0buMM02/Zg+Kw8f/q8HNApzSNyDKEIBMDHNDXhjroi
2BRQcER8Pr4WkQxbhucvgyHeo4ScvY9YUWwMKC9cDXfV3CtsNRBUbW/Usugrls8vXap+suR9eBPO
aSoWybELL85eUZCH30FjvHzpRnip1Px4Z8M1/vnUNA1uaks9wTRPOZ7vMkjrnMByc0cDlVEIvNWx
+DWVrr8jwMc6AcImbclmclx6MaV1HlEQjOp+tykCfIWxoo4DC9U6bMnRHF0HLGdphzv6pvQP9n7P
p6kAlgr2Lnl+6ic+sesg4vFTjcJItymxh53f8/FVUkM4GWKDpwEmXUdoxECStuk37g6+vsxAKKtL
Ufen2kCm3EGJtoJ8Y7H+vm3qvfBljqsiBAH9JJK52w+K9/tSGb1ta/NRT1otJC5oSU5Q0xv2qrbT
RSx9G7MLwkzPJz5TCcmgDp+dIH0JzVOqSfwNbrb5poKR8LFPAUgHCqq9ECinJKhgk4S2eGy6eeOq
9xFQY9/WdSYhkyEaFqQjHd0tBNTybavSh0CtUSIKeMt1594NjOwbmzcQE1HlNvoyBHKeT75xVVQa
J9vzZHi3ayS+agW9km0LR3gx20KYLchMzs+NhuoH8APNo4FbyabysfC96GrjJqzLmZyLtnm/TLz6
ZsXUf9wUUT4GqoMb11QWZXM1Rsz+xkPdfIXY7kvgTTj0YoL/Ydf3UVDQSKYL/FCaK/iVRfkNR7Uo
C09igL9jdbtQ5cjFfKLXwU0ja8HuzDQReaJhtGSwDoILAhp0le4KaEr3deN0qshKhjvCRDVWO2KW
SBxFTJT+3FYTpIYFDSDnBuupMqbXqnamKaF/msHGWxcQ/f9MZjhB0HRl8RR+FJc/mZFAFu36Op6X
zsI1ISnKO6GErq55Dtnvj65yrSvSpu7n7k3Qts42O7MMA9MpXiLLP8NcM8wziMVCzPMrmcgwwaI3
gbz8U7bAQ2lMGSMKi65euuyhDpmeb8thXuNu14ejHCDvWprsdTNCSOKuRt92JXsNzKh+LVooDI/p
NOfBLPZLs/Dune06q07gHFTNVSKd5Gk+jOUIpdbAWjiwCeXW9mrtWALSACyH2g+0sVF1L+swgR7y
1LF4uK2TkbblbppmKb+WrAnbe6F4G3woBzvSYA/fqwK3L4ieSQFHZQr3ALzsAHc9dzVizLbd9y1U
7j6vNuCqTaESr4tmt0RzBn8PYJYpDIgSilSxQ2kHcqWHPJuy+l4v1cChv817jCA5ITDrsPDL4Msh
B3iAP+i+Mvo+oetozwnuJhCvFhmrF/jbhrh3rlIW9lHPZTPRPQ74ej0pvvD+rneRbW1aEOAM3qxQ
jh8s/MhEDEs3Pq95c1ZByMnHMhqWvkoLoAqFSscZovg1aiAzn+D9IJsJOuzAM0ZwCQQlb4mim0XD
8H0nghBme7DAqATXJ6hK2bzftSsMM9AMqWQWFzsYf7Pm0wivo+kJvjxSPbUZb8cOygDQuylgWUBn
CBqQKI/grOxqHv9W9NTq3wfoJa/6CCD5SisYtBH82S5Wo57PesZbhfCqy3oLazwoGEDlNqwEfvdQ
JYDJISam2snfgz6/GCUWsCQAN7GVroIbMQxUOARz1RqtX2B2upCvULyzEJuF1ma7Uxoyu4eomdq5
uqkWcwkw0Q6qPYBPXsNJRVX1mMw3rKijsDvCMyoeqgNJ1BAFO+4ilVUwWynK6RtFvcG9lmW+XMy3
6gF6w8blH2OY74iDhkB+C/3xAMscIurF8CXsMUdfW93TJsfkleFyXQVVKW5BYu/pa9mi3wmfNYi1
PJZxXFxP0EN/ldDEsq/1NNZmB4mv9Qtde72P2CIg+xPm61tmwin/CrnpiJ1ykSixwjlwVm12N1vY
Yd1Og1nYBON1eLaY/INTWFTmjq0qocU1FGfmwu4mk3TqfY/dgdWHDq5dhdpTCF/X11bnywi7klrn
ut0zu0ANOyZBv36bSTc2T3GfEJhTDApF5ADy+GxYH1WY4TjeW5wMYbWzkzB6TbF7kLlN6wBtxuY4
oo/f0bMIRihcnUB1jGGKVEJ1qP0d5LAGbkc5VFOGBhByiKdIuDwuko6pcLBR+1hUA9ALxxnJnE12
UBAykFeGT7nLk3QlrA0w7Qskrj5wbKXJ645WU/wxWsiQUxhulR3Ds03jxH63QxfVj4XqZfsB/m41
lJAZTCrdfRbATv7TlI/6Yoy1BE1xshnszqBABY9BBzVrp8oihE1SDG1zbIldZOitGcNgDC+mim00
7juZwSN6Zynpww+QOV6Cg2AmZr/DiA9hdNVD6LO2EP9Gof8I6ce+u29H7aoaHj7zeLHngETdGwVl
huAzPqubYAgzS16UEH8MpuSVq+BlAbRVDUwK/kZU8/RZRzUU/oG1nwMYC5G8mqk7mbYZCCxHgNfM
H2KYP7TwxeBrcAWd8QHnhYjhCZeSdsq+LsaO6hFy3ZN7qLOW0xPmBm7UsEIpYf6o4U6bP+Ggd9qk
VpoyhxJqDz/JK9mytYVAZSInKK+jP3SxyRvYWNFpJ5x1+RNLwno4wzWgnz70dmIV2bW8UAbmOMPc
DtOumeZgfHQt9pk7WLTYi3hOUIS7EOmk2ed2TWQJp4I6fBSKDS6t7FJQnTZsmu17krl4rR+R22u7
7DvIOevmZhHNKg5T2DfzDTp9BHr5lFa9OwGuHTJoSaM2ZiX8TaDT/xl2QKzgKSwCJhQnVduxRqdO
QbXHQJ0hVw9aOPho2Cyb2SeIj9mq3K+jHkIYc5Wia+K0ohjjfS+hlP0AfwN4wpxUoJWRpyocOxkc
wjwkxQ2tq6BfHiDWbmi1S/qF5nCkXFd8q7QNB9sBQDAsQRbsa0pKSGRXMT5utWshzA25/mGNSPPY
DLJH2IGZudD2sE4o8lVQ8eYQiX+w7ZR/zEjNkRLADYfO30K8O6zhRET1+JVNUwJQ2tyHFXw+yFwN
Z7jyThGMIgNYZKTQEpzk68CFgK7mSV+MScrtgiv970W2jkt7hOHkmjxhBwxokY6sSMgxoLFz8amL
m9HotKoUXT7Dm6HpbjJqluBat2Kd3lZ27cc7Fiw1rFaH1hQ8Qm6xYhO4+FpM2JKeZrig91Cp6WFm
1+3ggz0U9Q52MeX8Dru6Jr85sQiapxpWKuKUwy1VfdOJrTpo5DtI555YHSkZ7loLK5hbWNTIHArr
Dvr3/a4Im7o4L9VcBMk+GeF2NcLsELvT64mIEVsyYy2rXsFYIXZXWTIP8eMamGDMoVlS8BWegXB5
qPpdhzmBo0mYR0B5ICWFRaRReQ1aEXzdI/sGBjY4ytOaKz78RuZpzL81OmN9AzhwOTno2KMbrz8m
poFSTEomq6P34ZjA8Rfq9DUuMGkGTy1Sp7O6uGId+rWCM1WKbxAtMHKxbNE3PB67+DWas1Hyplh5
awd8CRq2KMLGbVGh/CVjjBfDz7e5lizj+p2FW1j1RdCiobAqqaI5hDZ70oUxvPByHAMwCoxt8T5f
8qyDvRMs4ils5BqetVdlr3RWpCwCqvxdb9sCVgHFGCiCCYwHyLBjIRYiP/ECeSzdFZDt1NgHYQsU
gtcBDRiHDKrDtTgtSngpXSnlesygWebwFjkHk+8ii73x2KzhReqrWiER92GpI2OOcwtnIgPXuzLK
PpZrUvePeBSOTS5ztuxvJvjk0Vdw/ZAkTYDMC1NRwlVrRxIo21v4v0Hn63Wdwe3wKpytpUf4JVc1
Eu6xTp4GGC92oDz2+fIxW2FL5dJFkagc4DgS1OwO1uQkeAwWDfAZ7EmT1dRpkcfcFthi7ZDg9Zca
thM4NcaqvMgMs4KZQ5T0ufgGMyMTNnBx5An+/6VGg/XMS5xS7+GhKcT1rGXNP+Qh9pMva40JezTd
wMcHVZfReD8D2KKuAYWCFWSK6/Mkr+GE0g2/h81ajQdocAvu0tGFqj5nY6TdB9NAduMNnCysej1O
cKWo0xpE5eWdKXrTntGPVVOYygBmJu+gVgw/l7WEuXN4iLpxjqeUokk4vTVJS5HQw36j4VdLq6dC
nMtcWxBPC0UcTOKyxvFvsI7SHOeryct3EzYRzA8qcgXHHMwkw1dAPLftzbyWdv0UALz3uOCqBbdH
RzrQmwcXvJprB9JJVHRF8gRnEj2WO9yQOn5HTGLMR7g6K/1gLo5txw72acGnvG8RkzvDs4SDlRVe
nPKglvANToQkeVygEDDj8jSRgJ+rAEI9V2hCy+FtbemgPsPmQeL1sdWb5UFMlS0RbXYZqrucLNql
NFdT9SGakUamTROL4AomvU172wVqjk6wFjPmLYdWdQm3K7PQ8gwz0xqmycjp3jmgsZoHl42jOfV6
IKRNx6CS5K2CCRb9ZuwwuRNOvnaGSTRdwhTHosCqDDXt98Ew6uC2Y/DSe1c1lWXYsyVvYCnqZPME
kyTUIzHLK4KgX8UAUoGLkZI9kn4aUHp2Jqv0YeQtMVCiHgfxmuT9TK+7MWfiDB9ra0FFmBNYq9uL
P0Rawrsjfjsny8x3ddW5GqdNnvXpGuve3QTBpOLX0NorR7ODHLMd8oMMpWOvUYbj/VHDHAQ74cSg
tnZkq+DBqelLCc+Sph/zfg+KMptg2gcHjtuLF+t4LWQewoKrd3BX0REi9Prih5gdOFv/sOEpwvY2
G01wESN1dWFuipJNFliQcDLDVbAMTu5hlFPZ+xHgq/7KqRU91ljZGv6sDk8Yn0WVFzEM/aB2flsG
aInseQxLSzws6F8CvplyDW6yLjb1lzwuZf/BibANH0KLLBoXOFCU4oe86U136GDFNd7GE42bK5a1
A/b80MF9qmBdON+CQQoFCni5Dyz5zdRFMx9lsY7VW4MohqyDXsP21EW41DzEY88apFZSCwW7JkqT
8s6aiq7/y955NMeNbFn4v8weHfBmMZsEUJZFikYSxQ1CjvDe49fPB3bPPLHExwq99XRHtyiyWFlI
czPznnPPuR5MOho/tF6aZDXZG3OI97AHnS8uYhdnOctBdVM1JU38Z0mOs6y8kdeKVCZ6uJ/YEVFv
ycsaFgy48dN/9v5nqb1aDVhXA+7Z2STXR+B1+Totyv+sAABtZ1IrvyAuat71FuekZW9gkyTGVqkf
ZrsKbv+jz35eJIV9VVMXWjniQRkrBzXKks/rifkC0PXCyHoj/3NeJRWOShPOc5zuszKLqsTXzQVN
RUVvgr0BF4nSNQQXQ68zVYlpP+fwGGX0vX/iSM1dKylD4zpmInUkTDl6of+uVw4e6JLe4BIgYpvy
Q0/vc5sXtJUeBlu1Lp1KYEKuWiLL4LieJMcq2kM4xErEtMYs3JeXObuk5LpmEN96wLPMImTpuQuT
adw7FteHzdA43bRrA2V8LuVOwcsKEZVLWPC/QWjMszzjVKeaNLRzux/QvZMOWVw6uMVrsSKXnlMu
pGGEEeDijLH6Itk9FqUO+TMocopkkBJb5FmwY4ytrxid1GywnmqbnZNrqnFlDgFWLFVBxVzv610q
YbFu1U1WtNeYWZgcyLqu6nEmC8K2rZobCINjf41EQMTlocUi9bDyy0rJw5yHW7UfJ1KfGn42lYnl
qU00j0RM4o6Kb22oTtshbJTxIS9bsA2RmUO+KtFnAYJc3Ga5v2NhqxkKiZh6CdvIlbE5Kz11RHXI
z3Gqb4eDbk/OcJ3bZogeWDq2YxF7L0vi/xXs/xG33//47/9SVnDs30vYf/jZ9OjVvyjq/9/L/5Gv
N+2/TENxbANvFQwF8BX4P/l6W/lLU20NbxfDxltDWcNBUTZd9N//Jcl/YVViKQ4GKeC7umau0jf/
q1+v2H9phiyrqJ0opoPbiPOf69eT7DHIS+k6pllswhiKnMFFEdlZKWyS0K9lLCKr0li2ppIGF5C6
Fbj818r/pxWH7UtDqx9DhzNEDeaXWtYpBqtzU91JbOiVE3+NJuukl5HjYTn1QdLK519G4cPf7/6r
Mv/rdPrfbVoG/5rUC3KlOtsTCrsqiiZqJW8MZsOXQZbuQrsProx2+TphZ3yaCvUSwXyNLufPaWsa
o423kkJG8/U+RA4N/LYdQGek+LNCKhDbZ7zAHUPLNu8/3Vs9auMqLHPp1plEZzFVKQ1uUnYnYZLa
jp/IFUieFsrZNckoRcxFoOzI/nSbOS+yC/vUb89Ie6qO2ZJqarKDCdLrZ3QWRCFSnXTCkOCB7JV6
p9znpWHIXhoAVvwRgswosnbIv5F71kxNlc85W6TBm7BlL/RhwRtuFbfDJles6NJ2cT5uayv8h1eE
olk4O71+pm622O0Ss/GxXg5OdpFFnhSplf/+mL3ek0wsmyxSbRBlDKxyNEs5a0UrKg2LxKAhlVXM
HwAYpA1eQsWFHjsfn7UVm7WG05FqEHjOWqmUSOfgGGIwRg4I1UNlvC/hhxwwk/uzMquXB7JoBnVg
/Fk0snavuy3VjM6Q8qL159kxXQeSpBjz4c/qXV9asVXDURlgxsg5LwRs5inr7bhq/WpULE+S+06M
8/Jn2g//tOLIqoxZj6YYa8T99QiZNS2l2NzxfcA1zOpyrqo5xdN/OAUIDKu5DGGfwK445/TM2Uj0
Oidz7te1k+ySoJqUbUDaVb8QHtbl/2sgwspLQzmE4KDKum2dF1EzCM3QOzW5ZLmd/FyesKDEhfxL
qNtkaGwcez+8P7dfWLGvWsRuxVj9vGTmLIYt5xtJXhb9QE2vHyO4K7Iag+IeF/mNqcrJQTerr6Ge
O9ulixR/hpRwVPUsvrLGcL7w5Ir8UrTy60exDHbTdXeUDV3WsWp7PZStbi2DBeLnjyGWVS4HqIEs
97BYxb5Kclg2noGypuZhV6pDLUsbJ/8UgKfbt13QI8whZWP4c5b1NjuoWT21p3oax+XRUIl1H0r2
0vyAKWiEY66GLhZ1FOOIp2wCx+tOmtIk5jBnjqGbl/qCaF0yVh9aJR2HTTFWzZWMPyn1d1qEwKej
VukDFlx6vqOEyFK3cdj1sTvNsR15A/Bs5yddb1qeXEVR69dD7Cge+Nn8ow0aoPmh4yhLbqhuUdOP
zDw+ymGtk6g0pHY+tmk4HfvEGKHoWl0+uGERYWcc4faG7WC6lKl0VIGm7CtEg1JOxCh4XpUxbukk
/Arcp1tDLj/iYxqTFJXbyneQ1OixiUxiah/nJvHSkHQHqR87EWMQzlcB0Ff1o7Dz3BJUuLFkzTS2
EjcbsOl1l14p242RAfqIMutyVXSTKWFRO/bW59Yik+6patfYvkQ5hi5KJdJs7j6t8SHVM7PEPEvS
jzo7nS20hcSSJxudvimlNgrdAgJT5OVOHRZCi1VyXq1OahusUl0mX20n607OLfziQah5Fzmd7MaX
eO5naWmcyEOWFy/QoQ3a70lXg06j0tuHviFPIYrlrXNna5X2JEWjVQjyZ1hkTjqCQoI0hjxu5VQl
hRdjcDndtlU1fmmhoz8vesHODEf3sa/15ivpTpS88hgjVDcow75122AyH/VkBlapA4ealkpvrSuz
cbiAr67wN2Tvqu/pUGnRDnhRXjad2cyZW5J4qn01SbiyNREAbmeZTMagZFoLK43aDRpfseEOqlGC
7ljydVObzae2AD/eUr4KHFM0cSW7UxI4oByRqQlZrYLaC9gpDAGVPiZNBFi3ldLEeuqA4h6lfDY/
Y0o6ZfkHezDJSt46ctAupx7Epu/9Dv+fLdaceCzHkercMWSq7sGdkpBQ51g0gplMDoT3vhqRXWyH
BfPSSU3IBXRDtm0sE8P1lNyqKWIQ0cJVU6NWvKBvC9sdQ8O60dNAx2i30WNJ6AA1yxU+4YlyWk3W
u+BLai/NTRhyOWNsQvPHombVAzC2wbV36TCps51xkkSh18OTNPaG5BeVYt3OOOeCkDSQa3ANHYv7
aCzByaMgqG7KkpwgruoKYBUIP+6qihIND8CLZiwaO3Ee8ITOjP2kcb+Kmlwf3ICi+HqTZUWdnjTE
dr9Iy1AHQkGkRz46UjQlsHxNVfMDCfkPt8c4F3u9IjJO3NuUn1ZcLbbX61ZwGPEYzFyA2nkG5Gs6
yR0BAk0IHY3Zhqc6URTJJbHULyRbFWvcqOXqXhyrsSPMohgy0UVShDky+MnRSolX/go64UdL1Qoe
8pINTJDLBeJ1oOHd86hPuFvMBJnElwvDGQ6RYQ1Xw9DU80GldIxJOa5p2RKl0h+zY9dj4yuNrJ+M
qoq+lWxlsyg6m1vqDF/gZ68P+SetoZxn2/Sq/mVGefgpxbr406J02pdsmWrq6UKsU905xFHTq6Jw
us9AXEZRYxqwlxduvlt7TjhbyHGZFT5ZMG7pM/yfL9mozd9Gbrx3Nuw2kG456Goy2ZM1iDBajNit
WzAQXyvV4AH3vFi9Iv07D25FgUQg6GH5e6lDsvD7MGfxZKyKkZu7YZC5i1vzmQtaZlBPNdTZLtBn
0nO5EVr1HqM9bTdkFsccbuT15wyADSjVggXqziR7fzZxLx2XFBNDAaysfDEWa3nMqdJy8CFWq0qk
kpqlbh/GY0n8mFmNUL71aG9Xg75lLlu6Ozj19HVBeBz3bHW1NjfmfmiPvSbPd3aR2s9OUVc6oZhT
gJtFMXwYPOuqbwYx4IeUpOj54aFr3lICAo901FNAHnxnUX8d2IN8vCvb3o/LIfrgKGoDkjRZSyNK
TMUdMaIq/K3vWglKhh07MWuj70dfSig188tASe8D5nwogoRq4y3GK2EFoF/2+bFS9PQmHdTY2Haa
WdruHGXYJQVRUz8rUQzYbehhubE6K4YLNMW1+kGG3XmrGRU6wKBe37tpqD6gloX1uFXN9gzK2DRf
x0JuYhKwifQwTsv8COCF32UdYHMucrXSfoTsQfM+k2dyMEmQA9hVcz5T7gtvB3IOlqK9UPqOeJmG
C+YCVhclH4asSFEgSHrlVl6qqFpd3qV6o6FjBlJXJtVdCT0C03Y5MnSS3FP27NQ4vYmsLfXCjWxp
xlZFG6yNyqUPLe0hzbBRdxQEZUdzNnamHlWf7RiBDHL1CiThWuriTxmqMFTkWKVludGszc9YH2iG
B4WqbK70Ap/xnWRmiElWi6Eh/93I8QDzF/PvY8vN5Q7hCpb23JjWQZkkE6vnaC5ulC7FhDmf8+zW
0XrDdKEpaeapzkgzi2CRk8CdOmU45r0jdYxLFNySvI8wUAZjOTUWRo+iToP2IzEn1QQbu3OdjBy9
XNkazJ+1rI7brGranzi0OA0gY5bM27AM+vuhzxYL3d8uSk/wD6ZWlE1QOmJuR+mp0fPlsZctnIpm
vW/voDroN3o9kfZapoadxY6y/bwM7FOFCfzMGlOap9mcKRozJ70L6NBO/2xSyPd9kQMEbzK9L9wq
VdVP5VzAKlqaWLqBN4aGjxWD8uoc4fHoDuVvOlyLGqMhUsJCw/nd8KoAjoTS6sqHKu7qn5zt9E6E
odF9lII6K0QfyO1JJcXf+J1tB4tXD92Si3rRtVsqpaUHKVdyZe+oY3XVk9UkOz9GwzfwsbH2enVk
kbUI3exBBOzEm6yOg19qQ4LrOqcDma2Vfl+Egxqw2wbpHRfMZQEmqPR7KZvgugUBdj3+2MigETbV
YQtQqmpAVK0GXLUcTa1HYY5OsqeIVFZE3JLfgOyRMF+twLY/ZBYRzuWUZVY++GX6kCjUf7mpomff
clUBr8QUXfkA4W6R3HTRAiDDZlwobU6SOIEvglyJt4xt+7GrMZ5uoPHU21qqg8zX8zWn3r84aSPc
gau29OKwzVDhtq2/OG9TU4wLdzCAyHGQrYrJ1wcnj9mG7EgWYdricWSUrbP4sP3w92567HKFUZT4
fjvd6gFevfiBT6s1OKh5BSdBmEGdR26qpjnu8c6Im/iyGot3GMjddEvptMLGlgBA9sWFnN6Xvskv
3uQg6vnHfjUsz168y6cXH3N5tTS3coAY33hxOh+KtNw0c7+A6rx4oRfRFJUb+cUjXatXv3TuTbDK
UM0uT/aLozoFDM33uok0YgYkwYSD8iyxo754sUuNgy+7vVq019bQL+5QYdxevni41y9+7iUsCvbi
F59388XzXZ/UVNnoL17w89KuvvAvHvFoA1l3nOdwjg9WE3kA0Rj6md1qezjkuMyr4YTLa7Gkxfem
HZoruCs40ieG1WTYUpfRT3O1rB/Kpn2UVxt7ei3/WWOohlp8EiyV0FfL+6WNmjvshOGlBSByloiz
wnkqS5J2op2bFrrLrDnX3H4QPHfMsoi8MU7UwbXnyZqFqk956wVaJyteIrfFx2GY8wfZIu8mHLm2
PgWo7fyYAjU3RV+G9d4ZbIIw9F8j24eUFhM2s5HngCLSndS+kUHKo9S6r+ooAiKWoEkJQ4ozzIbj
oHhSGn1EKLCf6soFCDZt0SqZ8y2TZa13HdiZ3B1QEf3I+oKAkEjF9Iz4Kkff1Fnar6aWjbarcXsj
xKZDFm/qekyutMbKiZTpNEdiRvz+a9VDvRHjkvRfltpuHq2ogV1BLdL8I6RavHOjwlZOBdy7o6Sp
84ORVKMOUxI9t2PXIUbgF0No/7DTOj9o+rK07EZq/9RDbTeIamFwJbVpdhPOhvagO9V4E5lmb0Jj
SuoPEfLCnYuQjca5mnvoLtKN/NlZk/ou6EYZCKMpp89R6QBDx8Wij6LRiqgHTm+17z0zgdsIFEtZ
WLIafo3DVLqRymz40UQcAkTXFxxohzxhwFp4CX7exTlnt7EZH2ZENh+GZF2ZeSJFzzbX1ftJ6bPo
sBbxRRzFR52ri2N3sTd3Za56s5JDYi2oTb5NdDkPfMsup9CdwhFAIx9LZ1/UQfEtteehIq6ZtYLP
AgA7dOAZnAq6DQzetAiK2Y0kq/iOFkhKxZHZ2JyYzA7/xhzKXiyMtpm/BlaZwIaxQ+dRk7B8YuNc
Zt1vDKyfGE9VZxDjyjnMo8UhIonj5YikyxALLQjs72MWyA2AvtJwX1cy+WBUTScDyMzlo5GN0XxM
KhvuPrtkr/rp4Ax44Q0KE8GE8g2LzLaVj5ilm7cwHeeM52ib1CsbTfpSQTj/6dSrDpMFH/2GHWXC
vDqS8xtYYvOXpXXyj5YGh0xAU4qfg6ZuKn+AV/VdgzD0sx+mtKUblqLz7FCKsSYzx/p5pkvh4Q7Q
Mdi/TLbMRtXvR4VrjdsUZbhTc02JXNuahydw0ehzL+ugh2ETkmWH7BgpLsxSUxWljV84KgGtFXoB
hKirrtDJWpgctxVXgoU1s3lpznjoKqWaXDsKLbaH2OCM4BQmKYumK/XKN9ncZz8184irGCw7LgVZ
bzWe2hYQsJu5He7Jc8KUAE9mex6hDymeVldtKYagNVjITIZ018CGHTfW1GbLp1QKoQQsJpi8G46p
1XHDsK2fFjecW9mKp5+SVCWtmxnTGIssVZaWOR/KFS3r0yIw8Kgztx5MPXGNZkmeArQPv+pJW2tC
N3sIjq1qJ6Ync/CHvVblQ+aXWlRHbs8Nho9ldXB+taQO5+oqdlrtZOZV8FFPgrHQHjqlDkz1oxV2
8uKN/eA0EN17Cknsh6Uz4uaWHARe0U5SYCZp8dPPeJLJ+wiqV8jO0dTfsBifFM9RoSBfDXHLhmjn
WW24cRZDdCzHavKmSJkid5htUptVU+rTQU8qkzJfs5M6UYTwCURuTcl3U00oE01y057deEkKR8RR
wf+dwZoK4cSTfJLKuf4kybXMhl7N5Sd5WvT7BPKF4XbmulDlKYg/Y0veOOQFEeQfsCN/Vh1J/dEl
BRudOmfcgYAO20ZULVd9gZ58lnKeobZOZMqYDK6a1L3j5mY6fui06AP1sDpn7jxqPiBDb6YClT8n
gq+r6FBaJYwfYednIROGbLELWLkyJBsoqz5hABRVgytb7ENIGvWjkvQ2UgRLYcR+qeczERBiu+PP
lsJICRW81WzW/XUhduiqHMsbsiYjoSWDzaFxJwzs5CpPimBovMXOBxsoOBqaXhg2Wmlbu4+maWbL
HjMVPlpoP0P9iiK3LLWy4+IZ2YexGp3mYYqjHj4+wL/twdjMyGrKkGa6Q4BuXP/QROOEU+aEHjYM
z5QMoKicTu9vi8lZgmMFfb67iuZ8aGJPzlApv3ayhUkpygoWRyCcSq+kT01nLe2t1lXF+GS3ppld
h9XYUYc9UudpbXXkf2RvlkNVPlSWUfW1mIoU0h0rIHJmbNKyYolvKzjkVApmneVsektTuFh2s+OA
Q3VBNLFBSnol1/kVpLChmV3ZdIJp8NTaactZmEPnkNlQWxJamaj6GSqOa8jkFb5PfeOE8gaoqaGz
5GhstY0NQRiTj16bHEsYqdREGyez5JKtJst+SpPdnoYibAuFG9coGd8j1FqW7dyXUexPeGanbAka
yUiExS1u3DxAQYYG58QZtudQcjX4SAxMrNCVFn3u0m2X9hjduE1FAFXo79TIf+DDgoyQHM5wvsEg
yvxnPixrFCF3VhhHKgCc7CirdYK4QhuW4EVJSx98j61W0dxChuigMqHjqb6a7LAeH4yBeoOeFBp5
fyjT1AGQKFMzI3BLBQYnhLhyRevFKOlFfM9m1aafsFg3VTid5hJ5egFJ8+MsOWq5DbTaro9pYxjx
3YS5ND1hTprDjbwP7ONUzsvEJbLv2zx154Dcv1dARINtSWQvTc3rOcMVgajrTrF2WgnHB2YXeQzX
yJ1cfcyxuLkD4ikp2ZxaDdbgNjSaJJ32s9JOyuJ3gzmF9jbulU6CldrGoUauONWaPiCHzC3JylxN
bjv47/NoEmGhb1ZZczVajcZOPEhGbWLVyvRvF9+0clDovyGq/2cN/EID0ABA/j1pQDRflzj7lTaw
vv4f1oBq/7U62iMWocorhrHSmf5leu8AIYG/Ohb+7876o39YA8ZfqukYFPnbyOCBYq08ov/lDGja
X4AiiiID9jugQtTq/4Hn/WuE0TDBRiAfkBKwQMpAg8+4YhoFA4kaEn5rgyyDu0Rd12x7Vk15CBfk
Oi4gOr83p1MFrtCUChainPv9VZIV9GmnT0JJ29n4Ma1HgEwUQSzp96HuNMv3X0biDeLAa5h2fTxI
EasOiAUmrINsvoaP5LhIybLDwqwhWd91AJ8PdWwm2wutvADl/4KpQGkZXkszdLgfsmmyh71uh28p
khIpt8f9zeZm5202QmyOp83G8zYnl7+fPP7vea7Y8ZV3Om72Ys9rTif+evA8frbzDvzMP/Alr97s
9zfejp+e+OU9L3XdPe+22QrekrdfX7Ip+f39w+Zmv+fdBG8n/PXHm/3GfeIlfAThrt/ha/7iC+Hu
3B3t8lre8cP2hrc/eh5v9cR39r7wfd7x0TuJ/f5B7H2X3/F93/Vd111f5vP7vN/6Zu4VX5x4Ej7R
3dr8ducePvmH9aX+YS9899r1+Jqn3m1LHt7l02383ZXrbvanzfpB+WxbfvPO/cq77njp4fp+t7tf
u4mOWn/bO51ysTZ77/Lt94fsRcTsnRFzzqD1PGlaXeZUetrcPO03DzyU7351dwf3/kJLL9pR77V0
tsS6lg0XqPR2490+frsJxY3wv1y7srjQzhlU+tscPBd7QAW0iqy1HYbocX93xzi79DdDsjuevKPr
Xii9PoOJf29Qez3pA6Wrk4UGT97TA7OFcXp/jIhzvMN7Xbcu71+4oFTNUU4Z08LtcXNcJ/Tm9PIv
f948bVgbN8zV09Np83S6qQUL5/T0xFiKqy0Ta3+33W+3W3+7vRLXzLCDe9wxnb9cXb1MxyvhXu8Y
b1Yey8Jzb4+uYH36h1v3eGT2HXYXiCkXJ8IZLUGXhyFI6C/v0Xtg3dBjl2a1cRZfz+OQs3boLx22
EMk5ghGHNk83oc+yZLnfrAuebrvjn73Y8tW6qkPBEx6ed5U7imdvt9s9j+L2/tIUeZEaf28EzwJw
3tlakq+T8mb/cLNxn3f7WGy2m7XTTxtinHd/WsMkA8NA+IIY6K5/9W42D97D/u7kPZbEtq14PH7b
8AY8ys1WbB8+DHSfRxS522+Zd/6BeV4J//prIg73DLXnqcK7ZUI8OeKjf00k2Xhi5/m3xKHDaQ0w
70/VF2nv957znD5TUmmtMFMJ2CfxSMwdBJ/7y3Yj7v6OzDweQfToescNH8In7r7/CWCcXFgsZ3vQ
Ys3jPK5d/Uh4P9ELpzWune69G8897vdE690Tq4VgTcRnl9j6fk143Wzoc7ae3boLeI8MzubJ29/c
ELCZNzd3oRCfmUUbxoRdwj+wCh+J2gfxEsv22/3N/u7nPhQ/79Y3/fZw8xSLh0V8C8WeYEccurnj
rz9/MhuJ+Tv3+p4Yy5+3u3v/fvfsEvJ39+KBXWQSIhRblurnq+vrz9eHnf9xf9j9uL9lp3Bv2Q5c
37/3xNcrNqLd7dG7Z4kK/3C4ImYfdnS9R6++dDNP/kx3s7nSInvL7sS+fDq6O/+apf7ywk/3fHsN
Cvfe8fbxkYno/rgwIu9HLwhvrxejHVKlgvU1H2xz5D/m7vbkseWx9IXrHf7e5NwL8wBm6bvzABLU
62bTwbKGkmZpk+443bD+WWprq+vuXQtWkfi27vWES9bFXvBCosPmbt2VGWgGnq/u+IW9uOZAsOGr
9Xf3++01f+7u6TTv4N6+HGzo1s26a7Kirlm5+5fjwu5wYEGuU32zzsGbzRpOI7FjCtH9ROuNRzw+
rsPo7R5PnHS83Y3H77w/AOvu8K81uZKmdLhLimWaqolV47mSxEDNYij3IK426CYJzmpwLaqV/fdb
eT3K/7QCndFaibcqXL3X3V0GbUVpMkk1qnIcPyBFIhoAxqcQwX7osI70R+qga3t4T8jwe2VFR47+
XMIiUyjBcaC8CC70+ia2x2lDSvzPDNb/bkUzIGJS6mOq6B6/fioFll7SyEEDqh2pn+W4zvddNS0X
JuvvfWeA18Ny5BLC8fz82NzUmRyR6GjEBGgOhupQISbW23YPQAT7Vij1GD28P16vt8iXJ1NkWJu2
bK/kMvmM3OYUZDDzgXwL1nnqQZZqw6P2MDnJOM9ceLw3muLmxz3HMbR1az7rRLUiKZf3KU1l5LQG
p1g2lJJXbpvk2QWNrDd60tSxwIWUatgIvpwFf6OiZF4q8oYUapvs+zgxdybXtyuKY50bUqPW7v1e
/H1tGb+2d26ZBFqwlJQxNMx1Zal2OdVQkp8MZnyhnbe60IAXj2YDj/cbLRW4aZnj0qiFk9XR4CYQ
fGavi/vlSQuHS5Umb3XiyjF3ZO7lFLavP//l9OTUjWm3GJmLcFZTrx8a9RokJ3AN3Z7BsG39QoB6
8+FsSMrwYW0DuYbX7Q1rEqmLQbaVrNeF4SQUklDhL8KYqr33x+utplYlSTi+qsLR/WxTUJAKSSk/
I03UyJnXUeNy3SYL4gh52FxYYOuR7nXY5VF+aepsgcHNhFyg8FTGUt5EEUXCKKnUnyxF06+gr9Sf
qNt+fP/p3pqNvzb5W0dihDemVDdTxJsDJCJTHrddeGE5v9mKAgnV5KIvG+cU6dapomZB20ZUsdN/
SMsK/pddaH+kxvoSn9iwqAPQdZM6k9+Es4xAryPHqkW54gvahKFXPJSXzHvemuoQmHWSUgr85fPr
b4MAVRPXJuWsjaPh2+Fk6QHL4OA5Rx3tAeS16v6DlUzXEQ4d3lHXz05DAJDoHJgaDEfyZdts6L8Y
uv5NrVXL//PJYMnIZ607F1Lv61L4ZRWbhhyFo0HIiALJogqrtRExUboLC+rs9ruOE0kdR6fsxzTX
jeQs4kaSDdJhAMLUWqOhRaKNrrFEiV9VVbgtxpKiYtPYBkGabuHWj5KoB6hLiww39E+f12TpmLKq
UiGwHnpePy8CTlwsB3YZpehAM4tWj9p9pPV5e2EElXUZvV7ZtLSWbqgaxkzK+dFjakMbdKtswBKj
9CBn6gDgXmkPcLJPoSlNhwY9Gb9JS+hytA/5OY1cxqBTOmePumh94Sj0e6Rx2FxZkXD9Yayfe0GM
0BBtaUBippLhYYgxdKAlQPkKNQ9NEhXgvBnMu7bHi+XC6P8eCmh5LcuAMg1v5/x4NKvalPcKO8UE
pOQ2ZZK6iwab6f2RffP5fmnlbIqBsTtLuGrbcK0bvD7MVAoEA3yCUKuanS9lAlfp/RbffC4GmI6j
zko+zyHZlMlrnChr6I52g6LCBH9Rh432fiu/Bx96j4ojatSor6Lg5PWMLeBxpq0FxzMNHfOutOfa
19I22cp9lnzr4mbZvN/eW/3IlKUWiLbk3yJCkJYk8A12JDMZYaYPtQ1bPpBD17ZzWGLD7HTeFHIK
vPCcl9o9e06zD6cak2NENwBrj8lYlvsKwbJTgiTCETEz3ZXTRLkQ/t7q3PW0CaGPA7yunYW/qbLB
0HHiRFNIMR47qZ96X3UGdGsLB6AdPdXu8/vdu77j67DgrICEpnEFYls8Pwv2WjgWRgt3HVZA4Zl1
3XhangwCts6fHzs5SnOCocaH+jHDOFsRKeQbXJX0CrQLNirMrh4HPePPD9OOoSscSDgIqitoczY/
ZzSHdHWuhGRV4xZCby7gzt/Kdbpi3fKF2fnGmnvV2jqLftmvKGwx28kkWslxFijwoqwU8pbaLPOF
mWH/Pk7UXVG5yuzQgZXWn//SEOs4zqIIplg2yO0B0mu+LYtcPuAlZfsVmlAP0yhJqchJI41/vhTW
+kLE7SyTC7l29pAWRRpL2rH7I2fo3MOZUG8QwOrdSjXqfYk7IYScKLhk0/vGzISMwUWZE7bJvDk7
F3InMTsgdI6iSgCjCoBVIJkCRC0Pl0zY31jrzstdWeH0S5Xw2bKzKwrV9bDiQBWVw9FERHGP/p5x
iKnA3HUBNGVIo6jivL/03hhSUhzkHTiI2IZ6btXSRLW6UKlOvO5NFVJGHNvw+cr2YJQa9ep6iTST
7SDfF0Ober/p36btuumasFYVVIbYA89G1IBSU9U1EQV2EvwdudA25GKGC9XGv40grbC9OuudjOPW
eWxpggl9woU5u8SdAoWxT1DOiNtsp1VW8UeKoxyd1rY4mnIDtMjlnNd0pij5xEbVwep3Coqw6l5a
ngYI/taFbf3NZ9I16mFtMgPmeRCD7FOhmdZXzMp09tpqpogp6/N9PfXthdjyVlMW81/WzHWjPZfJ
7cagKMs8p6kalSXSHpQzL/OXqJTnC4fDt6YDZyGWAAWXDgptr4MLJOMontaSiEaXY1zaOetGIwKL
fzzp1m2GrZHOk6Gyv24FkaUIXc+YEGYsk5DNFkmfMrf/fIA4UK/5PNqw1XNQfFbCSk3agApYY+Bw
SaDyy8lOboM6XL68/0BvDJBGltLQ2XHAkM8tQy01rxHtSGHv1n2wgfnfuqk2rCI0zgUs5o0BetXS
+vNfon8BlyxY0LWCizh8sq1C8ws1qC7Mt3VnfHUUcDh0cKMk/hF3gfhfN0JpVI2mIkJmilnKV3Uy
1fe5hi6TEyL+s5b0TNv3+09R32pRWeUIUD6g1bMTwVJnSTbWtKjDet50NRZ8U1GgZERNNqVfRhDt
imlArQDHkG0h1+ozfseH1iiqTaSN6d37H+etTmYgTQOGg4z029nzh4hMYavEzLGcYfH+h7Pz2q1b
WbboFxFgaKZXkiso2ZIsK/iFcGQ3c05ffwc37oO1JGjB5wA+2MAOvUh2qK6aNYdWa+mOFMHvfx/E
tckRYOlG9lScnGoOPY2qq+mzmFVr0uY1oayNOt2vnTPr4L2v6dILzCbvs3/42+T9a8rEIit1ZPi4
2KXlHKbSAmU5AROwx2PZa8uZ0d57d0iGmTyuoAX9NEQY4GrNWPvSBdPb8VWG7+BFzS4a/fvLozXO
F8RAxJGnNzc3RxlFjxqeOV3RXleYeu5mTAnPpGPfeRZeG5codsQtmXPy5rBDwtJM0YiEdll+yidf
hAb6239NFaH/oSWcXBS2IuQst+/31/fx1lGj35y5nymruIFpYqIrLr3dx2/sbaZjGwZ9kO1SS+Hm
tj3sX8MU2GzadNzS4TbE6lpbMGI1mvyymmy6E/XxkzfZ9zVOkrtGuvEV+e5Lx6/rM+fLm/iKH7G5
R1AmINvinQYCa6MPfp/kBALOaBq7ns6S8lbMtj5e2zRtW+E8IZ+7aEcML85MzHeWAbcBtFimhcHL
m9BOq6StD4VfBQuKwiyUurNEU62uLVgI4dDF/P/Hb/y92bMppPikOMEbp6f2YMLo3VqkaJ2QNMt1
Vrt3i/XcStjm4Ou92uCTkiFjBtmOf3odIOec0LfFZ3WkAiroudXFUq4uLmj+OT7C2zfIUPioWNy9
XZM+/tcziL3S0VuITbQl2gqfkypvvACTGuMrGm37l5wKDFg/fofbvn/6dKy8LdPI9iVOiTYya+w5
aXCxqMsCzyy/sR+bYVp/NIObR4ZRmj9Ig8xXtbSqI77E3RlvtLfTFfMRAgNuOkSS7Gqvn7goG50m
1AGdcd4mUe64v3J65OySBFXjl7iGY2bw8QO/nTTbiFxaqaaRZT315elo41Gm0dB9h0P7wWqG4chS
Kc9sBm8uHD4sRvK3LARzO3tOwjwz7VHBVXQ1tbR2rqFXKvXcrEshopaWvNsmG1cVZJ4kZ+TmeXfu
jHhnztq6QzhLDLg5HJ1cOtq1drOS8nag5XGztxOc6SGiGfKhovMyPfNG39n4KJVwVcZzgzwKd4LX
H5GmnUxMPXpoWhJv2RezBwND7WgUbW5EopP2l8wquCrP8dT1ezOOYzfQuq75KltxFirwzpunHotG
0yO83kSjr3+MmXd9uzbIwQHIsFzHof9Ba6oWlfrs08QZZzed92g0ifzno4yXQBmdzBl6Tap+r8fV
Cz+3m5qZjFVnXoU4R1rrgc5unCQ+nsDvfVsuXmhQLa6TxilOvCjLNEZ5WgVJN8RfxyW13N1i+PFV
r8Tgnokb3xvMJ21FBtLX+XPyNnthmlLrMXddyaxf1tgefJpKV8OVsZoePn6udzY/ZxtCp6DoUuyz
Xr9AIxb2gpszMWHqxr/S3ljo3XPHQ1bm+ZGCpnz6eLx3Ho0cPapjHHZMD6nA6/FyoaliWCr29cr1
8D6igNm2CRV1/p1//2QeJWeORB6NbPHJ3FB019BFQTeFj40rbsrzMNDPtpbWhYHrdhl9/GDv7Kke
MRVuauysW8Lx9YOlc+nkyaDh2lHQqBljD0n3GH4uBPs47f3ql3bUDw1nzZmb03vjkm5kSOs/McnJ
XBn6ychNa3MLmbASD+ZBiU/mQqGxLZX8CgSyuvZGqZ0J7t75jAgUCAFcgi/+Yvv7f0VduN6IotcS
tjrc/CN61n164hqsU9zOOZPKeWeG4iuEcABzLnzAvJMXu26uLeNUYDvSrWuYD6t5WJzROw5tnEZT
mWhnEi3vPRrX6q18Qr6Yy+LrR2smN2lmzy8pcQrnwoQFERWJXd2v8C7OzNBtBp6EAXjAWtQasN/j
XZ6cw8JpzD5ZYkyKE5V/EjjtRKmw5f7jmfnuKJy7tonNPKHUySh6UWeFY7Ob4EXf7JpY967w6ziH
SH33tdHEQQjq6jamba9fWycpvTkLBhcN/XNuiBI9X454zuDuv9gejKuPH+q9WUGGarvHEFSIUz6U
rsNsGRT7ltb3X+iev8NHliYf4qmAfr5znKj3RiPHt0moSBNzr3v9cHXZpY5Vs7jbpUkuS9Vae0yP
3At9nuurdVqHM0/3zidjRyYT7etw8cgxvh4vc80aCxlMJmg3q6nLSt0cIyzd43NRxDtfjSG2xBg5
WqH72w/5ax3PtTBkr1jH8zi6BaZB/hC5WeUp2nrj9ss/fzNeIqVJKu24Zp0OFs8GTagJYADaR3Eb
4Oc0P8tWQG6JN34cmX8h/3135MQmW0pMQnX49NjGx7yY5QzNJR1VHNIAGgkTX7Juc+URGHQH82xM
0ceP+d47Jai2txT0lmfaJtNf71SCBagL2rcCd/P1opq4ywsrCbAyPJdgPzfSdjb8NZJTIwtDFVQG
9dCr8YKtus93EGTGOlRZzaf8+MHeOWp8dyuMbrEJZ8rJgxV9iycImAbstNb+sC62drs6sR81mCfu
NCy8L91GxU//w6DOtq2wHLgtnQyKr8JkKM8qg27iJSqkIF8xiPoq4Rntdaex9lMnxZkx37mesfET
VaNPRbbwH0Drr/faeQAKUwu7Gm5KBi4/5aWPHdXTEsv0J274xTe70NvIpuv2wpzm4syp8DaW3qpC
bKFE1PRdnS5+XVTubOUKmxB3Nu7A2dLEJ9vkO94hww3U73jXxU13o9XdmZPv7a6zTVdWCnE0CYXT
46jsha968pNBbCIcoqSR7FIrNe8+/qBv91JunS55SGRl5NFOz9fRLQcsAyQJm3iQ35JVjhJWUVeV
exHP1bceIOX3j0d8+0K3ey4pNdfhDLRP9x3ZF5rUWyKIzX4AzydV2rf+sIJ/aCmrwF3EKAHPdn0M
4jrG6frfR/8vijds4W5x9utFOmoV1BixNfXWtcwjV2Nhkruv5BT6U66wVynjdYpqvB6yI8li4/fH
47/dJCzOEPr0KEtYJpnS1+OD31CEyWwS5pxZF/z5ntViOpjS8/b/PBIpUjJDlHL+S7C/Hom7g+mv
Oack4Da3jMrVmzDmyKjp753RXuSZF/t2lVrMI8xUN7kbG8PJi+1SPOPmHoaYg8HOLw6QKJvSLMJU
mAxcX1aHpFial3py60O6WOLx44d9u1gYnVQ6gmfdNUiInTzs4OAw1zE6yrH0yqgd7NPT0vznJbmN
4lHop9qDxPQkEGCFeKi0pw3lofmX6SI+jd6sXfwPj4LzKasetSdOz68fpUPrp6FK40VOa32LKB0/
FUwEx3NasHdWPsltLBVMrGkJrk+iKOqndjGV9PYnOr7ofkOro28UyQV6v/nSw2P4n8uzCM5wQaVO
RifpG0VYl5hL1WyfSKNff5ePXv7JJu+Fafksbj9+he/NRZSXmGVvCUt06a9fYQGAifsW1jIu7hwX
etqIkGRCEZnLlF/g86RfNtTb72ifrl/og6vPLIV3djjCOF4pWScE8afaYDvHX6bVCb7jOdHANpFR
vBVejrEGfgjtgwlvCUMMoZoHoZKlPfPwb+MCIqzN1pjAGGOiU8VUpa21aZN+CYy10l/4GGqDT7EY
w0EmeYfUMcvu8ZSx/4cNh4HRF/CR2XZOc/+9Ul2TjFwCFpxJQ41feDF6q3w23CE7E7ueLHdWHv7p
qAq5ALCHE9m9/sDxKMvCFwsWC1NnRwAQu4NRjemZHfQ0qff/w2A+TBaRRX96V8P7vdCVZakopUbR
+/kQjcmq7So9BU/mdPon6onlJeiB23iO531DtfMuHvp/nM5vfsbJjiBqfeoJblWk2hZol+22BwLD
6VC5hRXhbrTDPqAPWM0k3hAz7j5eTCcn1n+jI/BDsWKQSSWD8/pdt1jDKuhmCnuaZLjEJGDZ6ckw
7iuooWcWznuf9e+htnX9V6TnrJa72MWoosH31a63cuAuc1ed+awnG99/D+RviWGPaI6Lz/b3/xpF
G2UGLDmVUaxad7rUUcHGYbfUWXth4Tqpf8GCLP7HaG4bFCU9q5Eec51wdlu1fw1qLaJp7cpPsKWX
yY2NvCnaMldngtV3Hg1MG4cH8hn+dxoqDzSLxBoJpsifF6+4GoDYZMceAp15pF2/owfIrdnxP54g
JxvOf49G6XJTajE2l5HXj1bBMZVqESoqZgwHKQDXg1pDDE4gnOD36OKAieHfOB2SoaHa/vHgb6YM
9XzmProIxPbstSdHcgvTSGhxKUK7gfCst/ES4p8UnxnlZEcXmBAiEieMokxrUQs+GWXIFQ0slWmE
icK4M1ysvPqcNrO/eRZru27htC7AM+0tc03ObOdvlh9DexSf0cOZlFPEyVbnpxUA5bSwQlAm0rg1
7XpsHlXfm5rA48Tt+jPVqPfGY11w5hPLIVc/WYNyFbkZa7UZLhnmPvmELy22Dzlo07U9s9zfGYrc
PXAIE4ET6/Dk0Wo6utoMSQ32c6PcYXW3RjPnMlta0575gCcRwfYBUUFQYuePa3M4vZ6jaeY0BpRN
nqrTqysYrfVBi9ciNDU3uQcTXAcxRqNYLM3W9WTZ05mP+GZdbsNTGiGoQ7nDTH09vKn5PjGwNEMm
qXeAVWgGwmlJTOuQnBpR6Xf/uiqgUVCD5iCmpolO4vV4dTJnMVDBOMTWUxyzHCZco2R/5qW+fapX
o5gnqwJfLZxTMysOqei7YeJh1p3PKO8M6d9B2rDP7DPvDUd2dhNn00jB871+KBun2FoBtYnYxPQy
3deiXZQMpQ3Tawi8UixmCRE2V+dc9d/uMWSFbaojBqE/ie+TtylJNaLhN7XQ8irnRWaUMavuH+VA
fCTcThBFk9GhAsSKf/10ebXk0sHaP1x4nBdfr8qIKkZ9JgP39lFogNAdMnDcZIjFT95hiq1AMqV+
iuU6VR/bU9VOU8q4+NfpxyhbjoiSKImp09RUV1mTrD0Nb2dhEpnR8rrHSf7cfHi7fThsiVxxadGk
4nrKfCJVHy94LqWRNi5VIKXO8QZb9ghqez7z2t4ccZuiiZjK4vJCs9DpEddWW5etwh29oVXs55oN
Bbi/pNnDH5yjzqu0y4Qk6pn5/t7zoYSA1bNBDWh9fT0jWvzGwHTzFlMlG0rGSNk7E5vOWYP+9PEH
e28oVhTnC/cV8iIn08LGXFjR+kUFZ7X6zzWQybAaPeMFB+lx//FQb2fg1r2HBomM+pbWO5nn+orl
Vz14WVRPa3Xwu/xPaznnpAdvvxfzgXIEuv/t2DzdbzsLa3hBZysT0F2+DtW6RqCf5TV9r92NLuv8
plzxYz/zwd57tL9HPdknYgfQl5CxivDTWo8jbsMHqEDm8eMX+DYWoahJBo1jkxZ06puvp4UNJiJr
NC4lcMzUbZHhhr1gAxhCqzevDFCsBQ77sXUUso+/fzz0ew/IIcbN1iQGQmj9euh57WpNm2fuQ44z
R85gZtdZr5/LJL07Ckltqvtke2kjez2KnQ7IbWNbRa45jnurrgBgN8a5vO7bKc+dho3Q2pyzqMWZ
r0epXL0oDQzBIx174+GAIWMH/jVts+LYFGbfn9kS3x5eDEdDysb2IidxmqAaEwAEOEqnUbw2kNiz
Zr3D6jCP0nbLVfk4TJ6ZJu8sAbJ+SHC2vDnh8cm3kr0Q2uhOaeSBBcWK2qBm5WqVd+Si0u9HdOXX
o9t1xe7jKfLOa2U/RnTDqDDQ9JOP12tb8AWpPEo4fPZ2ma4XsRpI6YL+Nc81zb/zUgn+ASJs2z+3
qpNv6Jf64vpJk0YdVqoV7WeEfiHqA88JleN38piJCiL6Pz8h1zjSWBxw2IR5J7GccKep64YB8jbF
0JDcUvzgTL11XK1q/PnxUO+sBApXLHMSxfSQniqo+gF0iZBjEaGjd8PRGO0Q0Pmv/2UQMtHkOWgF
O70O60adoOfriwgB9LSTpa5H5eSvZ07QN/OC9AnHGHU/cjab0PX1csON0qS4mFYRveXNXU7aPdK7
djrIxXCePn6gNxsk893eCmJEibTznKrbyrZsN3H1xsjEZDlGmRVfqHWhyTWqANL4ESf35MlQTHWT
fUunwT9HU6WE+ubTcX9CKkmAvClBaKZ//bxc5zKaPrNmt9g6pquBtlq5mUMfWLskCyFSdwUm8KpY
czzzvbZL80D3Ct3JQoPSXQyuQ+m4zn9ZC7Da31WGFkNcTLmHeah0SzIUT/GSpWV6xEm8036VuDbH
XqgpPYb2gMV5mYHzmBId6gyggLHRo36k3Jseej9trYdxrn2tCh0pp+2fl2tjvTSuLCBI93o9Pa3m
6lifWtD1+Jlnoh9Cc1iUsUu1SoElT40+LS6HOlWXups6KcWxdNwIDWVPgbwcQAvCRwCuM4SLkY2g
iKiwee2Nnm9uCbDMc++R9I4pruBvdPovQPLC/5pxIbTSoKItyihD3kzhRmOupUPJj6/m+LJu06IP
qdyW0xdj0RzaJas+jcHrUCTPwnTp/fbrLKw2/dxWtmYdc9/HfRiTYauyXwA6D9YaWQ20EPvYgs9c
LVwz0xk0Qq7nPkTkDRw4HfoCqRW2yDPV6p2xKI9mWhhDfgHFuo5h38nYWu43QHX5K69Lx1SHHqfA
pwZXaHbZvK1q7RN62Sr+1CtcYXfNYHSKiwqgoahwUJY8G0Oi09RqrWW5fqmdGk2rn2AdgbWn3vTh
4Np5etdtPjRFpFna4D/Z8eJ23+qhzYHtkWQqhy9dlZJ0hRed5q3kKguE4igts5/vHTX3GbeIZB0a
6pWproEjyM12WJ+czZL3q7K9sdH2MUt+zC/yYRzknSuHGsIRbTOeuINtVeVT0OfJtMC/oZpHjK0W
Z66eWpeOfe5dJca3j+tiTTjSq9FetTsc6pP8p+DENuFgadh1Y/A8tanpUfHX7eFL5Ujd/m2uq0gy
ktJdI/VQJiMolVB5Y2t04TI00DKjxK9wHA96FrL/kMZLgWZ9qB0PS9nELssXz870FPC7ISU4mwov
6ukbe+Vo6kE/iGy9bQYPGeRB6/ylswIzLVuIKFmC134bKG81499dW5o2Uzl2OtoWtGUx9GdP4MNP
zzoG0y3grFRrlpda+qtxOZm1WL8KkNjJF8uP+/KB7tYZlrQfa1NIWwQ0DE/v4zIaK7XoNwWWTjT8
k4xfHyGga3ofVYPD4O3UuNfQ0B3x2KfesO69uGIHCpHddVKPaCUyEu3YLDmV16BsIB69lKJgoe4L
fcGmAdKTviIRKXG4b/UrqzWL2scjVm+xDJa9Jjv479IjDRisZkYt4GrQ6OT0Q2MshvWXDaZdelEs
O1RAgVEtkOz3SIRKj445Q1sXXNr1tZxeUFhqKYSGlee4Ns1EQ6WKzw+y5GCpvCT7bjftXKvQTfRV
v3dkjXkCXTtL7KcBuDcaNgM2WHv4WaRLKmWgmQk22eGmh+i6S9fYKByfskq38/ai7SEgD4d2pjW4
C0cuBa4T1ZYT29ellTrFgHcRjtfyome3homcG35fBxYeNnaI9btWZ6EaJq82L1arYPv6GueQc4b7
MgPl4O/wQ3cn4ysW5tx9iO4820q3mqTm3sz9Os9XHqKhztzVUGImiA/LYOy6bsEWKPK1KW1vi7RZ
mmODnwe8DIAaVZYC9zQn/5dXmNQ89n26OH/6Wk3ulaFnnf7NVWZXPRQuHfmo/hArITykkbT6ZYLr
BG8yEi3gkq7G8Up3cC58WLggD496X7X5Ic8Tx7zqPPyoQrYv/QcYNwyO1LDUF2285ofJjmEDN1OT
GIGTTMmNA4Lzs0/nwd7M/ewzdbV6M+F3/c5+8JRdZDvSTe1sBhS9K/nZqceJ5t3aaoT2bFrkvn/y
TMp67qGPkxYYNM0/8LMoORgyG5YQHUJuHZBb6/lVB2bUjpyJMD3MUt9snq3B9DQ90IqiqWFRZH5+
b2Yqb64NTuD4thFqXq7Z7+rnVRiLfExKv4l/uqvyijugRZ5714Oh9Z/RAjXVvqs05UbSqMflQKy6
9AFu+YhGd41WxL9BfxjtLbJVVeznRM3+D6ZsxZyDhdWou9Yxy/KXH4vUobGw5T3sKsyvrd9KjGSn
A61qTWY1c0Sf72yroDyllUvvfCmXtVkvpZYKWvvFHOfZYwxoVS+PYuqA9O11u01m4wjWp47nEKJ0
2v4ZvWXSf4+ZaMopkL0hBi3sek2YP8x2ngeLDvpydtaIDo2xy0OckACVBb6Pvz69GhVwvzSAJwJr
MHSWsil/u0Oh6zmm/U1Ht6xMzN7/3ohUrx/hlBWKiKFiouMKz7GymVBXi2WjTDGGogdNlHhze/C8
MacHnbpHc6M0e7IChDJYBgFnYD9HetANLwW6UPzxnVkNbI0G2IUMHQgaS6PCeN6eK4WsSM+U8B7n
hMLpYzxpxa8Eg3+PbGU+ZmSDa+PR0MiYhRZz0QrdJmmLn92wevcIvDix/UKX851TTvMxYX3F15m0
ZBmy+zTPnkHhlwN2zF46RD33OTS2X46y++JYV7N1V0+Tc0fjadL/dyy8JJBXZvocO+eynBo5fCFS
8EhJS9svDs2KucUBQ5O43+luLObQqvzWPq6djqwFuW/xWBkuH2tZtYu2XaBfkBuVeiBrHA9ChHjY
EdgNINh96tjxNbcbYA11ka/fFeQm/6LuzUbsatlNSLD7vti1jQHg0lsMsRd6mRy4fOAaUi8ZbL0M
XZCM6qKssDVHNB7h7m0Oh4nj7cVCiwmyIOaMCe1s5KOoJccZaETVCp2pnYbsolMjbBUxemjHcIvz
oZWoeRojtWjdfJlge7EEaVq6x6xo+xnLmskzIl3jGAqMbahwqMwMzYcxxCJsYQIBCJ7N2UBkl8h7
tjvzqbOqcsTv3++gHbjJVzuZ4z+Sys4duDlwZhilaPpebpywSHdbYCr0hvtT4HsdwSrGMbVzXcfF
nN1V1Vp2B1N0aX0xV/To7AcLes/XjE7zJhKNq6mNlTFRBqqYmg5W7mIXL55ehSn/zuftO5AJX7Jq
DPs4hstMjFK5kViJRdAlLgWHSOrCAHLKwfzuT3ZxhSX6Okcom+Fj0ZXTWwelrQ1d5atKv1V8GhWq
Kdf2Fp3fEGwwMtiTPqxLZH9FZoZcdop9KnL+kjQsMXiSeWDxrNRIHluIcvFRJPFkBi6RChKM1POr
0Dfy+nOWO57cu2aKp43fDU6/t6pOp6Tvr5kfVCue+qEcUfYGmg2Ll6Vf6OCuhqK+n9yusL8UGdTC
cIJW0AfF7NZQP2Qzzze2m0AbqhPL33iWk2tEFd+z/gRPwjxWSVrYF5UFn5h/SRNEl+5grIFFZ9AY
9G7PZtatSuT7shi1zybSquqHUWULrBT2zKBx5iGJgEXyn7Uy1892wE2I+BxX2QBBytK98vPUhY+Q
s4cPGwE0+w0jap5+OxivPBd5zXmSSqWsqOx8v933a6LzLEZXhkRLAkfuCbnHZTy39qNpL513Wcb0
AYTSGpP71U1KfUP5zFfzGBNcjtNEkDeutW9GTiUSiCN0ImO7KGd1uzSm+a0TvrxWeVWIoNetBCqI
56cqhOvAxjithvjamvryTauy2A+0USjj3hx6LAtsJA7Fc9Y2I7mxrOuH8hPLEpoWenhOPidWugYE
a3If1gEoQIT3vrqqDBuiRYXzNwF/VmUJOFTpWUc+lT3u1wH2AVO19O9H2k3SXTwr4GQJNWp5VJPW
OHuAH1MWjLQxufu4j0kHr1pcyEBWs/EsJm0TRNHNme5JQnY73xpRg8azjA+rOer4ENlJAm6TeLp+
kqk1BbXnZirsQO6Q0rZzNyuCiRbJ4tjS73pL7s3MI+pHo3HRuL1BhxgkBiLWzFFQ+TA4n9NjKby2
viJW4daW8VlS7P18/jt6Othd1M2CdngaWOQTZf3it2msyS+wSNMv7F/k9ynJ8uvSRpu3t7il3wJC
yh7KGFJZpDOhnger1DvIp1b50Gaazp5ZGKsF0sXJCQr02Ncim4DCAic/G9mFlRfdA3V2O1lD7vvc
3ta+tO5beuyWHR1IdSTj1OEs0Di1QmS8+GPFOQBCgsGSC+oIzu6WqjzmFCvNTP4ejb7e7jW3deev
gFC87KIXGeFwP+rubs1HziHQB6XV70BxJSpwNE2+pAmd8wGiNb14SIdl6qDsNrF1YCuubhBRxLT4
WqtD283gO4GA1yEDhBT+H7015z96r/l/OmFzsx3TuAG1pg/QKzlZOM8Q2OWKe0hh7mKb6zm6l80w
cjaK5vs0TXS6JNIqsgD+mfWTYgl3oN4Hn7P2WvvVA2v0oygXzbq06E4/GLoDi5N0dtvgxUEWeE/n
SlaHqR2jPZGyMR7HKh5ZLtWafHNK+InOKuLvfr9od4NlDne+5k/ZoSbiQT7Z23QVuwVFp51K02Y/
gXNTO9+YvTiQg1puJmBF+j4X0/zDxZI0A7e19D9TC58EnF5Ky4ni2XQPud5CfLeBKH7vdAGGkOJO
OR/HrIO7MonBpadnqb7XbB7rzh289MZMTf2PORTTpxFgHFOp6ZzvY5KnD9LGJYOWxry7HJyEEAns
E/v7gsZnPOaIcJeomVTxZ2507UfZzanJ/rYsX1QFpDnoqjWXn1PVCMqmxVj+NnLoUOG0+Fm2WzSR
5yg38+FKK+a65YKwNH8SR8TfFqtO7gaO8Fsnl/2L7IHCBCNv7afb9O3VXDQGsX7JNw/wYJnBb8LS
BN2Xy61tF+pGxhVvyWERSDl88luu4UE6Zz23qkVu1wTPVreGWczlvga8SkbewNFoP3bLCCy4UbZ7
oHJpvDh9Zjv4k3TaZ9HaLHeTtkuXRBV3+Gimrb0NhDu73EpREnhUm7TF303WTAtHNs/V5UrNVwCJ
4WK/A/JJ2bMXfX9wU941ML2id8JqMIckgPfEJItHISBSefIR5UX+MJkDeSAufgOc0Npv9CDGgcEJ
4ArN91me2L/Hys9vpk51yeUsNUvsfI8gZt/OhdeH2bBVVPTYSC6Mxs37/Tz7/gNneqWi0VblVUqH
d3/RQqv9Vo2WdjOn2mrvDU/Kp4SAdbh0k9a/l368zPQ+ZvQYkGOBtbJIeKyeMbvZsTEEUJpE1OKX
11gzIqAyzq8Aaq+PYhrAr7V255RYHi3aFCx8mUNBKXLaj6Ncn2OwePM1u4Vd7H0zM3eF8IAkNkgm
CGfrhMtdzMPzdhZ/eebSbT3YmZV8yVoafUFiNrYZJBoxQGRmi/4nV+kGN622LZzslbNvR1W7IV00
/a3bLyPmvXg78ALWyQlX2rI+4+tmzaGsV6cMRk9zml1C2G6HWi50CLITj+nTBIEXZDG50DN52p9U
+OKvei26J4Gc/htlguUqyYd0DnuZ+08gb6pfZALz23aoix+pvVoXFY/ZhlTJuf7OVIlwy0Dzjw5u
8uMLq+xyj3GHhRmlxf20i3WYNoEh4oY3y55BHsS0u/sccw8u+yaqCHZPt7kduaVOAUa+qXFVL5r9
bVw6+8Z10vZ7rjLxBFNUgLoUef8DqKObBXNO/jPsisop2PZSWEHt0HnfqTATJA/ST65Xu5nbYOEl
3gDz0BWtVfNwXQ8JQYpuDEa0xG5e0dbVaE6wcO940ZBmvXjKEfxus6YlBOFGdRB1GmfBMraAvxza
Srn8r6pqDnGhTText4FBHEqxgJykCUKok5U37IialjIU3Zo+I9OPb83BmcD5cj9awyLZorZGjNWx
dDZO/FiDWgsTi4b9S69d2u/muIgHZ/UFe7e2lncVjOMnGybQcuHDSX2o+7T62SOxvsE+olr2ylE+
kGRcMJ71mUQq5OhW0fyvGuM+H0uOgFhinckW67h3c6m7T4NVc5VDRSwe5ThydEzVQteP02Zzftnr
qXUFZJgWaQcW1RBZpaE9K6/Cmo47Q8yF1BOYOXVELdcF9LguqEXejAFL3PmhaVOe7GQzYX6UciMO
c5Dtn0uL+wR5IGrKh7yJ0+t2xSjhEGu+ceF1mfs7KUR5iX6dKCYfCTGM3psfyCy7cE7LOJ7C2dNA
1Ht2jYA+JyGGXSZ98zeKYhOQvd539n1fmXvbGYnoQaOtKjTbtnvRm8m/dRD3obUvsSQJoDnlbejj
/whGEdPegMKb+pIUWV+HIPfMHFPWkdjLwzjKCnorKb4A53MnKFK1tYa9MOZr4SWLz1HYq3sPJ143
KOpeuXvLG4w937heidxodS7MTntBXES7O03vZgfVy+6uc7rjpmNGlejB1aZWXuIcyeEoCauBq4LY
PfpSn8eDntQugDvbo0vdhjD9LEiWXcZGvn7u+rzxd+sss6ulXGCbGa29WIGvLd1nNTmcaqWbUMbM
h7Y8KpdC0W5Fefhsx/X6vfFnvYn4htn1MPcmpLipY3LnWVw89VpW//CLXCShQ4TykyLDcpO6Uy8j
7szlp35etPxWx4qhT+79miRwNFdWD5knHlT7YlhLQdihBjF8ErGZOJFXes3yI1s1vQvKrGcVaF7P
V9AJ1bkZdlZmHTYBAC3OqvV/OgDuyl3Tduv0MsWD8cWjcHhc4KmxcNZxeK6Kyf9ZDFUu955Rlo+Y
p4unodLSNpwsrXjRFaduoHPj/roCkMZ4yfGrvdE6zFLfGaZ8p3WD7+3mIa7VsSXXDW+5FAZo99wn
Zlm5Fn9xREd60ZhNnAEsEth5pOrMmwPsSqt553kpZHIkSMWXbMY4Afv0tdQgLsv5pRcpYajpwgPb
FTk/JqrGhqFnr3G7SF+X+YbgueEuu4C6DaH79mpHd34B9Jea0HdtGR0v+ZmvW0ph0Zvmzks1z9uZ
2PUQbEzNMoWrsksyU+4Avkxb5rXiUKnbeuOGOX/MxYU3WfMdlHm0/en/ODuz5TqRbgk/UUVQUEy3
sAdJ1mxZtnxDSB6YoZiHpz8fPjetbYUU/qMj+qbbZgNF1VqZuTL19yYacDqN3KGxQjBm2prFtQaQ
HuHU+qJTpiDcmQMJdAhzPVDiVidlWK2rfTtkU345GmKqdnM/0QrFK7K9MJlbjOSTttfTwSSYL0UB
EyMDLjWh4xA0c3WftYNp8L+P9bW0si0+OluN8rCC+qrQqVLnrixQDQTzMmgQt7x0r7Gls9yg187w
k4H4mfQ80rX1zuE1613ZigTASvvx7bhgjBMAlOTGcUS1O+3sGYfOLavMa1k6proqoqi7h1Qh9K1f
aoLh2L6L53RWpB02+Kvxx1Oq6UBEcnwwCS6+0eXcz0fk+tltV8VEtdl4RNz1PgaOeHr3uL5XzmRC
V0mSwMPW6EwpDoMPZPRYJlmMxiOLR0mkX5WuV7nKadVsjsEy8PrBnvd6FZh3imKdik9p68mzVuue
/EL4/4eEVUVOsii8BKxC1aSn1ykfVIpWJg5m5F40oo4dH4fY8tYd5sQaKjPK+jjwMB6PQmeI5mdV
Fb1xTOhSz8FUrZvanZzfieWrgX0r7okfZAERn1cUq3Egajhfd21kjg+TLUihlTJdiLJjG3chYVK3
DHWpEXwveGPNHqILa52AedHD5tcTHmrE1E/+1FDtT94VJFH7JUIiZ0D4A4XgZzttEc+EwXnoQbbo
52VLgTZlytlUbNnQggB5QMktMTqCodf70t2CpAX9wa3/J16a6aI2CQyjW8GZl4KI6z9h1P0MLRPY
ODNUO5fKtQ0HOL6SN7kFWbuzstuQXFz12W8lfbXcUq+hfCQQRkMWtk0vnQf9n4jsZUvLHlJK3h2e
3Pl5mSfUGGMsxmY3binbZrSQDxqZZG9neVnIc3NL5G63bG60v8R0233kg7AaVdvuS9i+q7W2AcCS
Ld/7D8lASqavf5lDO9+IKuofRVQ3xd5vm+yX/ScrXI/z+jItor0hCTv51fxJFR97K7rRy5Y1LqPa
fBz/JJCPoE9n7hZLHg1sedwqawxedB12w1y1391KAMyv65ZsPmwh58YWd45fG2m7nHPqBgatu6dV
JRndIgP5GyJp8b36k5zu/UlRLwYpsiscS+GT4r4ZP+vFSxb0/lv+ujbd9ldr4NlCte78Ehg5ktQ+
2N61aU4ZSG87d1/EXFJZJz0B70W27TTzFvtecXz24dQTBg85wvQtQmZ3C83tpHM126tyoGbK4m6W
C/Uul6xuzHnLmW9GzjvPHdmsWtcx7huvysikj1xSuleTnPUdAZ7AlNhoe+bZ0CissojHJdu+l9Xy
mye0bVaUmnmogVMf5ZQAluYD3VZgK2CPGGsS+4xDUIJrlxFEuLmW9V2+OQ0c/MpcLtn2rIr2g/I+
cDxR/45EqVRYzUlDKzxa9X02+90Uwpen3cFXFaYv5pzKu5YSxAgdVD63HeV/y3bgJZBPjI+QVEvv
21JkxzMO8FGpCSNmr2M8iYzJhaDtZPrl2VmmglIOqgxZJMu3ccjEQyyzNoUKbtvnKo9Aa0fC5HLS
YUd962BP+qPl5LkBaZa3ePbW5m2DFj4Csitz4jc2hngmcbX9GoH8GcfMWobb0pBd+Sly+nUNGj4v
58AwIvxfJjbT481veF92HbW85aVEIvd9J9IQiW3yQo55RiHLfsb3R1Q1NJHOk1uTadhh3/Zju4+j
Dop/RsrH811Mioq2MJy7XOZ5w6OOqRVq1KAvRg4xva86tuJwyWZWrFcb7u/eMpZ7tQxj90l7WyDw
wsyNDN3Rnp/BwV0VdoiQjw7Wt8l5qpDHb8ccnpha1xblXx2D22FDY0YhsO76LZtH+bTkhSeD0czF
J4be61+OOwE8Y/SM4WoGBfx1KNzRDQqjhMO3Y7c5LzvB31y2Y0NJq9zCDpvcs3/De9iwHagINrK4
ZOaqUh1tFsbxxg+wE2Dxik1tJK8T+fXl0pbGl0KoxtwLMgsJKk4LUp5NI4KMdxPw3x1ecvV9PlnL
y4yS64kbIqWFZqOo9i7TIU6omrHrjxP+6RcAPsYUEGQ/f6ZaqopdbEXCCGtvFdZxkb31ZNhV+ohK
Nfk+gM0+YecpkyM8dfnYZKn9q13rZA4oegwwf7i5F1036mr2vWZq9/boyx8Ix/VKcHiGCQBpFCo/
N/Ji+loR32VfmEkVtbseNQgLmcHO33yPcwN62MATp2OxUOKhvGn2Ti4SsufbVH3qcJuAbpor9Suy
SpAAWXvRLmknh2DmlPhXeEbbEHQMtejiq9jOSu4ZZkCEM+t1OdTDYBVhybu7qGRtwCUzkPkr11N/
p6uVolZEXWSHC3C1tbcre85CbRSW8WmNijYKMCayn4Q5wwhVsWf2h4wG9t7NhdShbwuxnKdtYj4g
h8UZwJAJtYFLPGtY9xJ0Jt7qgCCOIn1TVJYu2Nyn6rNoocc4pUn8CFap3Tujc8b4MIm+/O5qqqMw
rQCrg0LEhM4aZqEf+ma2fzJzAT5T5UPtBm1fMXzxTeFkKK+sZTHXy7xVqQisPAJtGmPbvUGrq/Od
xzm8QrV7DZuSsAfG60bcIQ4xAS7FMSoaN/tksn2APCdNL/dkVaYPWR4vwD32JMg3RpekgPNMYGXd
O2toLgPqYZmv+SNzXU4ZlPhZxPzxdt05lbn2AUckHMfASfOL6HZP7WB85IUzlREJzZXvXDi5J2YA
/Wn+nPAoH/W6MmQ8Z35ahyJn7wtH4qSxHK7qRh+AhOLbLtn8OYrJkQRHJ8NX5j34/KohQoCylHru
donyOhXGQiPFUJFnnncZ398zOgE2SOVWEF2mxWabU2bxcVZmqwOZAjFgboLzCr6JHU1s6jQ92UCl
tI5Fj+8bp4Eb7dVMExGofPEP1diL7NJepsgJvNmY0yAecSYKiwpA9cxbHPuXtpvka8WWkvAQ3OG8
lpREOw8NlLpf82K4XJRRp5dUZ87lpA23Otoj8e+hbZeIaqgcQGukHGW7K0dTAMCsMYsnse36aVwG
bqSx0viOoN3i60xPwIiPqDE4WD0iwXMv1uTVr6vrhgD/0ABQve0nrSlTDiWYeh4WemkHxmet9loO
U/1DFMJOP82mY58xfT38cMbC3htmMjTXQPdwXmT8QqtDADm//bFMfy5wq78K0NdHpR2kE5HG0Se0
8pjqrW8ozXfpqNVNj9wDhRgcLD5K4zJDOYyKOGETG3JMN6f22c1qNsEhAS3nJOndNszytONVTC5L
v/d0pYIq6dQjUdvVc1LI+dFoXG8ISrOanytMouUuS0ZxRz2xolBp+PGuV35Ramgf87k2/IC9WmbM
QKE7QTmm2g5LsVinWB451UrvtnZ9kGIAA9SAgzwwl3ZbL5DDrJ5t2asvluEOd0rQoAbkjHc/TCOu
qEdogvQugtY8L7lBSrposD6llKROWKRjV6NZwbcas08LY9pRI7Lg0y/1kbMweXHVZPfYSy+rhc9T
kzo7JWw33UU8QBkiy3X5ViPWQZiaVopsGc8w+HONYCvY9mSGVnjBKmiJlbqsPOBOGLlcP2IwVfzM
57GtUeGvxU1VUHnulzHW0FrQuyUR8KOaD3MGrd3MTtmEi5sr7ixiSnS/RhwwcOPe/F3nRv5MQ8Ac
d1qK9cGUi8HUimimBxUv2b25jBLQSE6wcBwftQ7Ra8BMF15f34x91FyXyrS+tARA93fATpYKG5RX
3xcm657ieik/d05OiY0CPEMTlkbWY2IvNRP4S2pdC2ju5Kyu4uY5GetNgUgPQq41Nm79cTCqXATj
4HNeiGXIoJMgEx8cB1FLlmBzGUxN1f8aGbj47tCCxtQbFt8nGeiIqlo4Ln9fO1Pah023xl9kLxET
aRidLVUjga6w64nnnJbYTwfDYMq72Zrmu5JwMg10qbJnFHU0IUs//pxRFpdB0m2ruOtUWp+tOq++
keU9sKD9Yk5DATBgkDVvJX4A6AQUtTp5cpWQpu6GrSIqfhdP/KFDk6ghId4jARwvDLEUZ6qMEA51
8dzfxV2ExCLbhPaBUlOyoEcbxDd68+LGsoG6efKZuNFtH98yToN5biQrdW7KHgy43SRKfHC2jUFk
Xg/ezgVUewRU1E9GPJn2nlh0cFlS4OU1msnKCZkrAbiiX3NgpTPpLiH7LOINSq/qbhmIiNmJxuKF
Jz1U8o5PgCmPGMXeN5FYet5ZyWKcTQL6nT08np89bUcPNlUMz8kRw4u0Vlh+BuJTYmakvdCoiyl5
lFFqRxdYsk43VYNjzIFPgY0NaR5nZW2ThQwDOzYxlbvVgjeV2uGoWOr2Uij2lsDt4z7f9YVq1kA4
S3TDvMV4P5pe/zKqXrVnEs+QT1UBFU/lVkfQksp+Bseb2P7cNj6rLSbswWLT+mhMDcqeWQn9iVvt
kDa4ZpKECyNXv1LWD1fAw/3QGaXzW6ukcPaiHavnbXvAWhvOAy9vKolzN5pLbA3hS58ab5LMOyRW
XHFCCQ94BoziumgZLkAe40TXq1uQ6LcCxKFFSNZ63PlRHWtKIpVerHYFgq0jdOoAGKg/Do1Y8uvc
rzk8y6acTJZPa13kNpwTnjdGXdBDOfm90c/Zj6le3e8JenAEmYllfO3WhqbILnDdUXOC2iY2DWYM
48GIKMud0frKKswukeL/mKOuaEKr0lR7bkp97q6eiSNkVRhnmanRM80rJCcbdtYk+8yjZCehnU40
yKDrEBv5k3mOKCfx9jjdkc3kVMJ6rhDDsVtZHMNZNRpnSdfwSQD8+7edqa1bDQJd7aLJmp4ak1OT
xaemF7MibijI8sz5NHZov4LKr9PHaYEuA5Oa7CtmsCdWOOLKZD8g7GvxhtKKbt7NYTGcVhoXvLgW
rUY+i4fcn2OEbJsAsbZJHDqOzZiy4UbVU8sQ6bfJ6urrykhn6ywrtHGoxNyrI5trk4duX/eJQjUB
JEgcEHhCMV7kFfyn3JhENHVe4DJROp7Nvl3CN5Sp07EDmYC9BKUw6IBXPvT2aOV8T7yEqEXH1NsO
xMfoXeVTSqJZZwGPXzFUBnpQzbnjki3Tos8FlgCt4NxI+v2o3cI6kBQEpJ0NVvutzszp11RxBuHI
BeO8y/ql+ez6UhSXCH3TTxm7RRm609ZVwTHzI5DLpHHgUnt9w4dUfGJqERrbXafsWSVq+gXHx1Xb
vMv9HbhV4d20qgQQJuFwpR/A/xbWtfLs9itzcNr+lNh1+gXRQd9TcI16QDKTCjQjM6MsedhqFFhn
MZBad8k4bXc1IjQfQg+4az0jIVGnyQ1c62w+oLBYXyi8RvTws6ui7rGPc0ZB9i0WXO65gMp/xuV7
+jbH1jwc4eS9eufTFaOxGATukPTXgNuxu4onH0s0bLs8x79OhtxPUIMlHsV1XX/uoPERVhmp8SKQ
R1S7Nc3taI84xEcaRWta7lSHRgime/sA1LBgVmhW3tiEHmeKQ4XtojSD6fMf+rrx7tbBmgzIypXb
ZEK5OaK0na7WsVuB31Z2hh3EyHAfI5oe4Idk3oBpevljij2CtRvqusX1BxUgRWZeLmDFnc2W08qc
pt9DGCKRjPV9jy5FJDkUg2DZwN9i45jr1Y3OGrDlFJMiCtywNkwoQyi4yjlgO6bxZsJKzTuA3Oec
TZYJNaeQkeMZ1660y1U7mpBWlog/UzxO4z7BQfUCMxkJwmJUQtAcdyzfaTZwVWiycomCfGF7h0cE
8DnHFZxmGsGJi7ZrzeSznZs588MVNpq4rY75vCutUf1M1oo9UKSk0QTCKsFo/QwNcDCwWd+3RVN8
QZho6T1d/fw4xkmZnAsKb7iNVFt3bmzisDVLzYrsnaqXsIZSXk0UN89NNnqfsQv2ER+RVhTtC39l
pHO1zP669VLze1Kbrr3Lstk4X+241jetX7d301LZBtoNDwV7vZX2ZWTlbaiMAVUYFblg8rpyuq9V
UtDnZtiCsskj4ox2IOPqju0ADokZMyS5VlUIgfhNDLdsU+sYWlmOxlFnOBpNzZ9zQPX+GNRG3V+x
NcIToyOKvjGJUZwtOKvOOwQP0IPIfJqnhfm4btcgeGsuyE0xfsdz5VlHQ4DxhcAEkqPEcEiQZHMR
3l5OFu0nxuP9zzI2u4mCOo8f8dgd75akHTlhtBM/N/2y/I5dZHaHvPXzF59Dut07fFgwEU3mNVjQ
ZC660IWSM2TFQ3arRPDdMMVA4Ufrnf8Ao6+ea+2mUyCxhn+ExQWjmbp+uarryX/G+wU1D4yx3cAC
rBmSZUt4P4usXF9SeivuShZo2obSHVWYpZndb3SePYZG6hbfU7xdCe6RK+P2CqQO1jPdZjq60Ucs
WtVrifjEMHj5MbTdRTctZh8YrjnZfAdKJKiMsrjde9pHds3ZQqSSF6s1DiFkm2uSx4xl5xqOcWnH
FWEDqZyK+kj9mH9tanZlijikR4Op2foRPJY/kJtmt8y19ugMU7MUexTh0W3P/pSElPmSNi2th88m
WvEvGu7mwXbgERSn42VZF9Z9VliqumuyacBqx0/H5cz0xvlzl3QdNqhra2EDpIs+Oi61ld0P2upA
nqaFoZXFWEEbqV0wTV1NL/f2dEnC2aeqpl2cu8Zpd2bPV7OP+3Rmf/Sntjqv1GwOjONOyvPBVm32
B9vq+c8J4zw/dLpqEeK1VuNokMkle/FqhBNHLDLG6Gqkx0HQRVL9/Yxu7peiNeBVy83MpYrB2iOV
ICdbUMAgb+iN4mVq5+ghotL/iSnUBrMu86TYCKgB94ziWE/Mg6D0KBkPemrSmYO87aV/bIoph2Vl
Qqg8m9F33tOraIKNM7NDPm8zHDTJtZFhVzCJGOSmWRQoTABJdlHEmAx1pOvegk1TbdpMBXzKWuR3
u5SISQ/yYOB4QlxjPZpLk77MHsresChcqlym/9ombAwvuq0yhc6Iyp8iF9o1yQ+1VTqfRWki5Bkw
DbnthOzXsPGiYQoYf0PNpF2jfsjddPnuDY787EBoGXsZrYbYJb4POUE2VJyGeVtSmhbCqu6k13v3
pDfWT4bobARLdR2bIfsh8CHpcNUlI2miYq65tZ7xk0fwiRy3PG8ZvBr3Et/3PuT3GA8RM88X6zrV
aEQAUH92eRo/maBpKGqbuUxhYlligWmVYkEpOG66SwRuiAOQwH+NqiVROxRJKzS86+kjCnv+pIW2
rubcg32jOEaSHwwWPmn7uO3d6z6zxcxWXUgb7C/LvrU6Tx/8KPdvoQ1BXKYoWsUGcM114DmC0ZY5
VZT7CzvbM0UDrYaJyjLoa4YdAgarohcnAao4dH6Tqd2CFsJH59UvF2p1SrwujO2EyYymSPdqTIBl
CxQd1l6Wnnuz9Z02m8qwnnd1F7dhNIxge/g3mZfduKovcc4uFmBwmZJARFty8FpNOYN5c/t7YuDv
Mm3K3tyNrQFfnnpMFfCkWZCh3TdxEYzrIr4xgMg7nhcs0b10lQ/W7GLV0qC7NIHGKNGCKa9NBm/y
yr/r82i1A5r1hKIhkpIPwjDFlym11i9ROg4SQfiGM2MGNzyrrLOacJ3AYcKVBIpo8xVcINzAjG7L
RccC+SxtdbBYrrxiXKy99vwYwbErSyr7WLk9YVG+nmZ2euh5s1ugetc5n6IDQlEVnxWy8+9EleCi
4fsw9p+scYLNgA7vdhHbfseIBWf9uZkpXwRdT5ZyX7WCXrSHdt/TrFYZY4hZXd+Zi0QWgGasY4gm
MuC7mJEb9s2cLHrXGrNUobcyAh3OxjA8j9Ykpv00tDI7+Imf800lvkOlhQB1RT4Xx9lOAgmmP+cY
YGY/rEKOYVkzAE9htuRILvzGTC/wH/PLq2lMvVs7zYtmZ41rwZhWjcbuhpEfSO2BOQUeRmOVP2Ve
ye6wJGs075YZyOoQJxTGO8lTbHcrmzi1RQZLxYMttJCgQmZ0nzYutURD9IVA6DlShCx8q7+KaiZQ
PWXu477uFxxethiAKwIR+m9oZhUkZN05V40N7xxa66KRFns6w4tRRRLlLTtXICBSrmUkkbzMIKko
8SZk2buC+aGfdaSXL3UhsxuFKt3YBINgx6CxLo1orX970UjzB64LVgh6SMWV2RA2vVsY36n4pj6k
RakoQcfWu5HaauQxUt76PRaTccWI6Wh8YpjM+jnZ0trAmQJ5JllC8TnAcLLCjxrVDcMFlkTDbw0J
NDsBByEiIL4od86Mu4TQgzyslcELGw3Dfhi6Flq5GRzo3dzo/PNFxP10nHjfn1dO8PlMgWacZ6An
d701giHhcTZcIojglKxRn1xTHXBcFEZXj8HaAWIcvbRpAbBMpgk+g0kWlCD1aKKXqnLvzilrxLAc
N/FNU6AkDkae8lcU6uPN1ughxTEK5sGEqLtb5iSjH7kGQQ5Ha6bDULNXIBMhUuXJTxY+5lgni4s+
qwCuKDOMdfe44akfBWAbzrCmTh4SVfV0vobfPOEz5BSAbFXxI5ZNiwoiyoGUmOYuNJr0Sj/IGgUA
myz6C2XjeRykHaHkO77i5bu/OOtIHW+hBZmAam1UOJSN6KRVca9SZhlCWCjnxfZa944zqLMOdRTD
c7N0273Rxy0lfqstHW6783IwM8CdfTb3wNi2tyKMTLzyZtOgLrtkbuYrKpeqc85iGO1lnyjpNVjL
NeKqGzk1z/K6ts49MBEz8DCYp4WvZy1vOoYBf7aRsd44TIv2wYSwYjjrV/C3W2bPIrxNhVvzbBJl
13tSvHr3cu2dQj/SF4hH4QOMQgNpA32+k1Hl9pOWT0W1KoMakPbohx9nowhov9AoRpKhqaNuUI1/
dUkN9aFc/Mpmk7CAxtDZxoDwCIDS5Qvq0pG8DZ/RpYOlmeUJ6mEhi/b9ievNS+A/zulkrFHak10i
mccyQSFPhrsLudh+g/AHQliZ38VQR8GQN8PRzaf5VogCs1cRxby6ftgV+SCP71/+dOB7uzxZrYzj
e9jYwoK9nrVmhrXtka2UAaNXtEMFUubhzEAlaDHdqW/gKPxgtVX8qZ0LZMHvX/w0VezPzcOzG7CO
lrP5p7y+Ojlhjg11VwV5xJG7b2XEh1QSC7jP6SpSZE2gaDGT2fDnKR0VM6L7vEJtQhED4N04/bcP
ftHp7Pmf5/GfX3RisYLgOWraktcR14p9GApzl8W+GVIqPTaUwmw8cOEt02j7op9s/L285VhVIADm
FCMNX4Ac0JP4HzypUwuAPz+LEMPN9VZafzmLNTM79KBoiasyBm5ldi5G2FGARuZd7dS795/CqTfE
drXN4cPd3E3RxJzYpOhJVcS8owRBDuy9qNS1kMcxLkVZONvzC0G/5gcmOm8tQyz3pGNva1DaJ9YX
CCS7Ou/g4RkHNG8dZCaUuRItbm/M56jn/KOumN2uLeff4h9YgcpBaexsK5Dry5MV6NVMIKJ/ge7D
CI+RK+DfVH8pFWfBOUgQ1Pb7j/bvG319vZP1tTiCwRStGTysjImOdlquFq77CT2GhVa86XeN1zT3
vl3Eh/ev/PfK5sqYz9iYGrvkUW2/7D8uit1i1zJVrGwSkoyLGG0rB6+u/9Gr5c/zJCSQZcNEBiDO
66tw6dTyG75oa5L9hb1J37xSXkDKT59d9NYfrJu/vwvct9k+YI8hBHmbry/nKT/yS8FKbXtOsx5o
OARx/MpwjTx7//H9/U0ofDZc0sihe/D33R7vfx4fo1xtO6ecDVFjNudUMMxiMT6chgg8mUpugXM/
iF1/84oWRkxMwDOacOpeKOmwm3Lgm9eJmH5EC0CX32cbktgm+S1ujd4HPiNvrRCiEzwGITzsn07d
xScSIRTMLbtxO9Cv+Kvu9E673Vj9D0uRCCI84aVSvLWTZ5kiJqei4Fmujdugde59NEdz88FV3np+
2JVLxFOkoKCJf/3GJhedbp5wlR6FgMNoob+eZYnZ7mcwVhh8sLD3l8hbi9E3fNQDlGXsZidfmFO3
drx42xKRo383VRiDhHMcu2I/FBQ1H+wkpyZF25fmW67BU1S4RpzGlNT+UFADM3ncyrh8TiH00Ifm
SFdWfel11RZJLPrx8f1bfGP74mDAhEyyV5L0bL5+pmvkrZaNSDTAU4CJTulGx24Bb7XK7NAUkQcK
YamjshA8fnC7b7xNTGBhm/FkYnNRJ4XKaKZ14jV86V00eE8mg9cZZ7EczwgrGw4x89H792/1ja9h
K8iIZrEkR9Lp1tJNfo/GroDLQh66s3G2PAzC+iiV/I236Jo4ujkSlyKsn09uC7uaOKu2by4yczmj
es+77Gh1nTQOsjJQI6eZsdxI9L/JBxvam1fmIGCEjbBA/NJfv8oI3f/ckwYWZN5AH80wTLSLOr4N
QJJOvrC3I3adGOWMPrjwG58J1zOoLjC7Rt+2/bD/7KQtI+8uE6Y82FzPF11ljHucYMWdD4LywY72
xj1i/2cRYMKnssWFv75UUxjmOtkl0/nM/u1Ei7RstlsGb1MIpDuNTPlbLv2P/IrfuEF/84YnP8gG
QTFO3ikD03gwj3wkqcRAx2iRIzHaEh1jgymFf16kPpoPn5QNYm8wwXx9gxlD5+BJ3GCEIdDO79Ex
TY39kd/b35/ClrhgELJq4/jmnFoCGqNHikdDDozAQOAmn3L0fEk2flCKvXGVzRuPf9g9sdA/2T4H
5lXKyvYho100olpWNmqdxPnnz5oqmk/OxEPRNHA/e/3EZiMZZ8p3RBaIRsqbFnOdele3ov/o+3rj
dtiYJW72BoccK+H1hWCUVFyBnwbrhDNpWpptiGDxA8fhv3fFP5Gi+GUREU/5c3I3JgXLNFeAnNxu
fsHmmS77tEP/oWem/vdMWOvl6V+XHGa8hDUiUbe3aJWTfSNF1g1+QMVsWZqWLfH0QS/zvHv/Km/c
mOuxLyqDw82hz3v99Cb8W+M2b2jF/QbKsEjcS8JkuoPnDkmo5/ijcJ63r0cLQJAp9d2pK/5oGoPr
gusgQRAd/B9xorCrUcykTWZk9d0wt9aP92/xjQXCLRJjximD5/9frTf++Eyt8CCXpEqZ3K1hF+p+
/ff1jicPwJhtbbuuf2I07HcOM+4MHQRDYUS33szAU5flywfplX/XBUBRNkeJy1nJSPzJtxs5CXZT
m32mRbQdSm1cWZiamT4j2feP/uQxg5vHMxRe15fH9x/jG2+Ocgu/QJusQgmW8nqljKmRNg2BJUHt
qPgbI0D2N0bzVHcoamw7AidHUnR4/5J/HysEU/AoNyaH0/P00E4ms/InUrSDyKrWo40q63shYCQv
hUl7fhsxwSuDuknAc9+/8BtLxsPW0+MD9Pj+Tr1myb2kgMVvMBhxq7rObFUGndbTP9ex3J6P76XJ
wBWW3yfnV61nZvk9hF9+4VVH5hojTN5E5fIpFEVpf7BA31o6HM2ggdsTRTT3+v0NFpFY6FTpS705
PeLthbauSAWu9JGbXeFHuFzZgHZHi+L64d8fp8tjJG3EY/nY29L6TyXipmDXsWOj/kfMdCvxfNrX
eCp+0KO+tUBdk56YGtKmVT2pmfF80haO8yiTndwNOgQL360ZV0/0t80ZcyLd2f9wV7TSGN3S9rBV
v76rFTuVmhFBVqeqdbpjyl07yLwwyfpgNb55Y3T5W/HBv72TXh9nKmShODTg4BIxQ0AyMIRJV/tz
cZaXttHdr0z+fISEvXHRLSSFvoeHyRF+cjCsJjJlvTJns5DYBkfFCNeCDr7G1yYuy937j/LvSo7F
QYdq06dyKlgne0s55UzZYqvDSFTPcFGYrnNTfGP2y21mJsSXyfyoq/uTi/IaD94iU+isPJ4r1cPJ
25tLP4kdqInA57Mr9+nYG1fTjIOYn/bVWeRBHcm06Y4JykgyAAX0VBAvLoRgiUfeB0v3jf3Gx/iE
Ld1y2NtPy8tkQplJOlSNtqaN9wTpIuGLcYp//ym/fc//ucz2Gv7zHWZOX4xGRPpNtK6zE7TDZq5F
VKSyw9Ly+xu7TMS5McGveQWOtbqAisa43COVJzM+yKl6a33xxv8/WIGd4eRrrTGTi1zFLcdox0OF
WvWX1TY5kjAjvhg7erT3b/6tRwz4zVnCybmFur2+d+WsZFNgyxi4ttXgu8YEkbuU0wd39dZCdgkS
l5jjW7zL7a7/84RRBqtiHugTsNBrnqIshkdszPiZ4O2PSoE3b4iea3MoR9trnDxA3JERCEgKjpYQ
8V3UogiEqEk+KDjevApDJWw8YB/s369viLmmSJvEphITHKfeAZsiNezotJiAfv/9vPXkiO/haAV4
B3w4KeNbinuPoVYuJHrjIFCm79x6dO80E8Of/5dLYfzsb4U1GeCv76ns5q73BS9Jz72+8aI+geH0
kPGiJpqyL//DxUi7AoKjxJanXTh2Ngnu0BS8IwTMYRh6gi9RiO/GvigP71/qrXdFicYBiB0zJ/zJ
faFhUk5XAt2QFFHeYWXhXTve6H2wV21/y+nGiUmyu8FDnBCnXsxVMTpLurLuqg7dZDCgFT1nc5we
ExCqgx6Y9nn/tt5aGYB9SBRRK8FhnRx/Vs/QeOlAneGnVYXZynhcmxESRl2ffPCy/r430BLFouDg
A8k4vbdJSb/o0FRv09TtMYmau9prL5DKOWdGm44f3NgbV/PwXSY+gcyXTW72eh1OgyVIG4detyfh
XMSlLx6IdmJ0Rw7rLRZ90Qf15t/rA2RdEpxDHWEy6XryLaeGg2Bf1Ay1w7E/abkuYG7mdP/+63rz
KqQc8hkDZcB5vr4rIUZnXnFnQtGGA6sa4/YaCedHmUpvPLutFoJooTkAdN7++382WuB6pqM8dPXV
uIy3UkabZIKp3wtVTs5Xs4mK3/98WyxBQCYTt3oYnpPbspyiTeOElgCHMYr10vyZVu4/ZlQDLNAP
KLYlNnQOj9OS0hSYTVTrSHtXW7jodnjHgC6rKkSKwYCawTv74Gv++22xr9vEb9JTUmKeEoLNqJnA
GX30fEUzXLprFl0Zw2RN/7y7M1JhuGTUuOzupneyu3vl/5F2XstxJEmXfpWxvt6cP7VY+2cuKksk
CiQIkADVTRoFOrXW+fT7BbpnF5VVVrnYtW5rMzaI8grl4eF+/BzwPgBAEpgx2mKXJdnzLKBmtRmv
yWCdDcjUFF7glswTWUW9fHGoYPqtpU6mEVGppuhbVkjlLmnDN+fnscLTlHBCiCUwoNPtBxAUtLcF
3XBNG261SXIbKpxhGhLtfd+VwPbixgFER588hx+my2q1TnZpnMJt8CLHg1BxPP0GKS8d0fALeqlO
wcpEtRa+0yMje+v9z3UiNLa4mLmZcY2nZmTo4TtdpPFoC7O3jjY854CMvetnS8TaJ1cKGU8hFyJq
4Y7499RIHeVN3Tbm944e4bKQHszIy2RrXyjqBsUbAhyavtBrWNmTZ9kFYZVmI9K6uiAMWqwhWELY
ekfz+9gdndB+l/U7tfDd1Iy38/z1+gCXpsgdy1QfEMkh40oH9MJ5RPBKzEBD6Qo2x+AOthPf7Yas
v5XgW9/JJn1qZPbC3XWjyx3yYpQaPzVNlRBjmdqLYR0yhmIMN/B3JA/0B6S72Z7s7XUry9v5Lys2
Ma+mCWG9xXmjCB1AB8zQQtqcBkAlkkjFwqLk0le+Bpi4YEyIhdCHRsUbiYyF16+LApkyQ6ARQx9b
Q2l/5ELjxhxb/40bn3GdmFpsfMP0fWuuMEVv4kATQ+YfIFd5a8gmrJD5QRuDvBqeZOEXu04JQd7D
zoiTMQ4DVWOKbbO1v75G5zuB6ixdEPgpsk3kR07PFx0Hc2yYNCf6UVnyim1CGBbTt3peKj8nVhan
mAcJnAAjj0cIQf0NvFnf5ET5dn0k5xuAdATUrIhziGqTtViVMZVaNZihUkO0yPytjPA5pDToCl4J
a00q6WXrvnZLBBgYI0VAtYT60lKhboAjQZ96qlhU0WGRIWaUaNa2mne1lFV3gG+LfWt2nQf5q+qO
UazewJKbrvjGs7XjjYzmiQJWyhY9nIsRZxUM61lofXUiOgAqaBbd0UzWoqmLRkB4MKdUbEx5aQTa
F2iEg2/JVGXOTqs045ijVecc3rR6AhGj8xCihIIh9E8WvqJL09EJzXHYIIYXglwu7Sd4U2gh1eNw
5Y23GNFfpohykWqlho2c4emW13wrSnKC242Z0fzdMMBtl0rK25zEixVKPy+DQQJziUSYiwIaqTyk
0yZUYWCjI/qdJs9rBbslfO8vM1QXhPgez1VjMW/w5vTUzyRg9L1Re/FYTe9gkevujC4wDiEPZjq7
RoNGTPq3hgQRFRqlu+DGgLfFZUnXDvriEL58HZNSgDiCBMRn+Ug7V6HQgyqimMZ00+hJejtCZ7CP
6G1bEeR+wYW9OoMvtoDJqWwcivfExqfrqOsZ1M8T6xjG9WNHcw/UWdph9hMPymLPKOrvXTR87xTk
c3T/U250X0cq0BNRX9UmN/DSr+UphK9cfCEucpsL3RFauUu0EC0WdOXaUOTLSu1ozxn8r8kxb6hy
3sOdmSf7JJoz9SOccNGvOYKNegWtdGHyhYytDFQJwATke6cT4tez2kH/2W+AhsHhaxbFFvxwua3C
ON1eP64XztCJKfFVXr2xKmVSw0lsu7A1pZuEDfGOYLR7+0nFisMZBckm7sJTKzVtrX6ecoa6OQj3
qjNK+1It1tLZF8fCs0qhBEgRwlzsIweVhRTqNfZREcff6Ypu7qReMj9en7FLmwOoB0eC/Ai124XX
AXARlH1GV3USKfEBydbQoiNECXaBHrTv5BJWB7Ury6PWx/3T201zR4EqA+txflBorc6VIaO1UCM5
935UjOEHugjSDa3exn0GqxzUaaZ5j+9fwwaeTy3Aed5bwJUIpnEJpwsoDZR2pDqGv8PWq/dxkhde
6DRr1ZbzqbWpALJ0si3zwFvm60O56k25zKYNbXkfZdP40ev2oz+bxx4GFzhbW8/S67fBWnA+ZCRV
2AJIs6pAdBfXIv1HA8/ufKLzFLKCr04JMbhXKlpkulDMliGcjU1AEQaKzvjz9eUUO+XUzdgK9xZ4
BsovQGoWpgHP0EyWYNo2AWRrox/vijKsdmgd0ezQ1muZB/F55/Z0SiFgkgGvLnbupMy+Hqjw4TQD
dAfqmMVf0iDw9+CsY5obrdKDi3hN/+/cl4lyIBAlYKXsnGW2PERrkMZo+BUhNJLcRC6kbaI3zr6E
X2vFl100xZudJlC4DLmxTzcpRG0zeo2QzMAcOKhcIHIi73wnyrO9Es+K+baoDZUZm7saQAVbVtTq
Fze2NNI7bRt0YBgj3B1SDb9VmSCc9sZNIpDqmMB7glLkZXk6KMcHcDbDQQVRXmY3u2kI43ybmqHx
m94wGy60Ml7TGT6bx4XJ5TymNADaKBq4tHqWW0VPnmNLabdZlfYrgztzKy8wfCAORFfUrc3FvRDO
UyhDiQSX6FR1N3CVZC69QfnKvji3Ql6DKjyFTq5UuNtPpxBW0T62KrqUnaQxdlXYzzA2mfPh+kIt
TxexC6eKc8UuV22YSE+t0JmloPkE0qXzffnj6PSIJgXdzaRZ/QYBovFjX6yVh85MMmM8XARsW6C2
l2++VLG0UWtopIiaWtmO8JcbrlO00r0Cs9IHx24FX93U7q4PVCz/azdCUkwlTBOwQ4wCtjwdaDoO
XS8nCEG1+2jTucOuOGjv1e1aamNZycRpnNpZ3DlEi51Zpdgpt98/51u0Nza/j/c/rg/m5T1ybTTa
6WhGswnp/MOKegBQsEHLY6fcQfOyRf/ENXaU3ja39eYIff5m+nLd9vLxeTZCsXFfBV88n1O9FpJa
kqe7gwsIfvPLem8d33qvLmdSHPhXdsY0hw8ix47+4B8q2uo/A2g++iv7Ynl7L60srhfa8eNUEqOZ
92iDuBAHurlbrpzls3fS0oo4E6/GokW1osdivd5Xu5+J+/hsHH58/rSmnPki7nttWyzcLkDmdFIi
zFQ7YKcu/AObz5Btfphd6wn+zpuVnSD28jVzC5froFiJ+8Dc4P5sNv3mV745/ul+Wgk4lAsO4/XR
XT7OsyZvLKhAxahgwHJJFrloBrn21tz+OHxrtk9wBa0t2Iq7WDZAtbZWOqGw2W952HHAot2XefPr
6S7c3DfbH7wJNpBtrlwsa+u3BNdrkHSoqVi/yf057+UDili7Zh/eRTf+Jj10m5X1E3f9lfVTF14k
0emhpL1QDDJ0M/7RNzB+upCzrUzn8m5ebP8lZEeXkCIKqVxuBKJ90/u0QhR1d+wTa21Ma3tl4TRs
K27sXBw02/ja+V4EV3KpInaWJ1CRrBWcX/Js1yZw4TxiW1INCMf+msD0AzoNW2uPBpz7FG2j7Z80
3eOI5c2fa6N8iT+vGV74kyHI0BKoMKx9Uo/N5+KuOmo//XvSjdBulz+mx/wYfdDujceVHbM2vQsH
E7RjZBZix2jsGZgX2J+9R5Tn+hvLLXf5Ltjaru2uQbbPki3LDbTwNJOaJ2kjDgYFyH3kKdvHzJ03
z/6mZHqLvbpZvccvOQAKgoD4RbccOO5Tj90kdpbLYssiQrxTOB/a1iFy0F3nNnOR8Hto7nO3P9QH
/Z1zszLLl/zqa9uLWYZPZkopkBCrbIed+Tndh/thP22TfXOjems5s0tLSj2BogWgOoriiwdBDFF1
PNVls6lhf5cVum+hp9Kn5y6vt/H8cH1oS0dA2E/ek2SHpgHyB7RwOqtmG6l+mOqzK2mttocfCVZl
pY7QWJvmFZ+jL5wbpkB2UuinB8m24MU6NZXaqjmqPcpZPl3qt4WT5+CBtXTFhy5nT1jRqWDxGhDd
ssu8io5KNXqQ0B21dOV+gHTSOtZ92rjypGYf4jLLnmhlUu7fPItkcHhWEbRTBDXF/nkVTRQQJdRN
iVYjgpPlDl5WfKreZg/Q1adre1G4sNeehgHyhiNxAxDfoP1qcQ5Q46lnx5Im18r73HHhvmieIH+D
Q6k2Ci15TJW+hfA1s8phQ2a7kTZwI2b3aTz5n402bwsIBPq+v6kyU30ATVKhMVRHpb0pZXSTrs/L
WfBNzZXamKmQagIXRu3qdGJ0RDTy1rIQsVT6Hs0RKQ0mvCGcteF2bNB5hQba6Md4j8Jp/6Om8vgr
aJzA3ipUB+d9XGrmWof7Mr4UX0ljf1DeguoVHaPTryRB0hShEj+6SCwkEA1r6gYxiuwbiX/ICIay
t49TqXLtRv24EtqeHzaNRQOeRj6YDL22uJ1gcpWGie4Qt27t7xXgjacW8qEPMG6uoUQvWBKdNCZl
eLIKYHlOBxk0QvLOUWfo9GITKAW9TttiimELpU71fH2Rz881KUxyXhYJBlrQliX5wJLHrIDKyrWg
wtm19YjAUxWslE/OHjksG12VGpBMCshcAWLEr45YQHFCi+eud30p9DcjiqKbOAu0DRsqO0bdXOys
1E93qhzr76nmp89GNikrHuz86PEdwN2IbiVgZstM2zT3Q1BUnC4bLmdzFxS+9ElPZDCBTgsXzg30
xVC5vHl2hR+jwQeoj0Km/nTcmRFmWpH6NNo3BQw4k57ss8zSvLdbAdwsigVgDuiUPbUSDD21qSnu
oXlBzxMmJFiGEdN+8/zpssZAFDJr1Cpf1vjVGiaTllgtwBA3Gsr8fao3yjaSYJ8ZYA/dZt3o7986
KoHZAFFJBYSdoy/2jDrJTYoWLfzwcxQc40Kab3w0WVYeCecOxVYNejYZFCW3M9AhXb+U9Ca7cdGH
zbeyDP9NCkm7J9uGtLMzY4AZdmz6G19q/oZk/dev8X8Gz8X9X26/+fd/8+dfBWRPAja2+OO/30e/
atb+z/a/xa/97792+kv//tA/121XP//j/Y+y+ce+y3//aKMiX/7OyUdg6e9vsv3R/jj5wy5vo3Z6
6J7r6eNz06Xtizm+s/ib/7c//Mfzy6c8TuXzv/74VXR5Kz4t4Gv98fePbn7/6w9Rj/2v1x//98/u
fmT8mhtGKf7qr0/6z19//tG0//pDMs1/ksyieixCmz/+MTy//F+wvP/EA9u0T4IM+avFJC/qNuQ3
FOuf/IQtCrrNBAcjSgccq5efGeY/STuDJKDAT0e+Co/Cf77VyUL9n4X7R95l90WEWNm//li4ElK6
1ChApZAAw2+ycU4PnAYfa4w0zXyrQLmXw0RWmOlDC6Ox/6TmyBg+hUFc/Hw1M39/h9c2l7cxoaRo
Ekd2lOo9gLdlpRumkCDzg9Q+WpsPwebjl3d3nx7WmsJFFPcqPDmzsRgY4hRQvhuJfUw2X78/Bpt3
/mbtKhCv4GsmFtH4ZJZZNTuYaHYPX98/3sfb+9n9Jm/WhrK8c87GsohYK71OJ2PC0K2z4YUTbhlM
ts1X/MdLfvXKeJYRCWL3Cv2MLEviD9uyOFgZpLRzuAcLvrHoUUXYYuvYnmN9QgrZJdO9kUbDhXLZ
bRPoS/Vjkjmbrlyrg6ys5LLaqk//meZ5/+GD4x7u4J9YuRDWTCwut2qCsctPGXm2+R66j+3mTiXd
cX3XCyf/anaFX6Yxj1Ir2F8RnSyutjLwZzp44IUvYNXfSYkfbs0IyGwVSNbKM2Dx9ngxBWYFiWfq
OHRBLO6bUvLVMXWq9iAZfvEYGIhHzygYD1KQHAdnaFGJQqX0+vAWjgScsUK3uc2B5mLFnYjDcnKn
6vGcgDbzqgaGu1kezI3RdwhDqGp+zFQrOly3py3nUxiEFUEcDtDA+pIgypfiSq1VFYMZ5HBqrZs7
Pa9RajUSa9uVQ7WFM9o/tHHooCxRWbeGUZdeowy2mzhBtQ+SdvhRljLqcq2idC4wZnubRtFIFSAa
561EAfOjZGb2hiDWeW/5gQn3K8z5QV1CEzb2Le3UvXUDJXp2K8GZu+MtqG21rqr2htrYKBZA7E1c
D3+dlaU7quxrzaZiy7zeUpRK6HDh1pcNeLp40J7OOd2eVpZ1TgAHWSjvHXqw9lDZ9m+LXphZSwDj
CTiJynRz2ek2SYbmJ/Jc7enEVN3B8Ps9eOV6xcrZcoKI14EMErzrAoO/KMMAgUY+FUK/PZQv9WeU
kKVjWhnDp460wUqQecEU2DhYzbiVuWaXL1cYPTNEiXx9j1ZXvk2w/DRlbbcDO9d9vL5LL5nifUeU
ibIO787FqSiyyS4iHmN72p5QL6hQuFGiSNkjGuOs+JezzcC7lvubjA3LRUl8MYHokc6lD1HxXvQ5
A5stB/QFpHDlmC9dC9hvOmg4e4KYDfSYGPCrY+43XdS0g9N5lq+of+ag+0OEr/Toz9R3cGtzY5Wf
HDiP14A9i+BWp5VG8B2BVRTQOJJEp3ahZJUrBJ5gygigX9ug/FJ/hXB3SPZw3kdfWsOqv0E+oKPs
oTTq2v2wdG54N0IxHez8y8vvDGyYqWHZ603qwWqOAAv0s4rhjQ0Ac9eqE/mj2juB8saZBjTMw1kj
kUNbDwXlxYjtDCVK1KfMQ18VkYfXDb6WKBO5cFxqt7PNQ5MItl05GstNRDoCcK/olhe0QSCxT6fZ
yPw50wy78JBPD3iuG8X7qgijFYjc8lS8WAF4bWrAfiDbWJwK8JbBxAEsPORDs1slQ38Bnft2nzSj
9MZTgSlgqGweDgQ38DJ4CHpDmUabAZk1eoaDhY6gNc/97m3HXFghsYQrBuFNu/NireKiGq05zEtv
yFUhXtPMabQPHD1U6aXED63QoZzPH3c6OD6IUcGFmEtAXWcX/pio7ehBHwKu2NDCW1uDTDlHA3YF
u3e+IeDYANLDPuRWh2bpdEPMndTSg2pOnuz79Z2B1thBLp1xJZS+ZIWMOmBRGndl0sCnViSa6AKL
2r6noCCwb4eo9qQq/3l9kS4YoZ+H6wLUNwmiZa8hlLQNybx48MpCmeEkLyYIjqKw+/O6mTNfwWzR
8A7VF+EJb7vFjBU2dGW6kg6exJ78YHWV/06Fvfs9ipOz20zj9Ou6vUXsyi4gKcPqCMIaCBKX0FbF
SMugm4rRM3M9eDCTloo/WgBkpbJqWzkDMjNlq+7s2DdvWvRiVpbuwl4kb2/RjeLIvB9l8fNXFwJp
S8UK1X7wkH2QdggPw5Q4oPG8SStzDTB4YQXpxRJ0pLhE8pfLd9AkZ2neK4MX5KSb6f+CfdMJ5Git
XH5pTGTYZBmIDbt/Scvgl40Wx5ozeaS58h/MqNV4dt5EyqHA2Bov4vI5rBPFMXsincitqpxBbZqo
AxqtpZLXB4NmQ5FiVva9LAXF5zyQpLt5zrPmW4wE8OPg2/bHvC40G9wPSD9oZ1NnFcB8toNpFdRo
U4QZi1ZFctSnSxqMZqzHgyx7AfOAjCN0485BsnIr3atzqNfbqp2MZhepBL1b3Lus7BOkSEtXR2PH
OiTktiipGJY0bpDkAuNLLk/6rATRdK+OuRZv33gA+LrglHh1wMDIEVgcuNG04i7T5skD1mX9zpGK
HNxQRco4rFXjdlADCL7Bmr3vrMEiLzsNK954GRKJzkoLlCc7htU740aEsKyEbaWaPAQpfaRWHN1V
4AM/aFlWf/UBnr3LGfvN9UGfbVGMCnSp6I0lgecsBo2gZDuquTR5URT33xOnTzv43Rsognsl/09+
7yS99zpjc9EajBMgpCBmdJzFIS+HZKx705g8xP/6Gwtuapglmspy1VCVV4KDS9NJSQLXCW2naB84
3X0ce3/oUKf20lZCco8nF256ijoP+STAWZY67kYL+Z+VcGtZSeYUCpwbaSlatRyc9+IxFSqQjlvN
OHlz0aL1NYdpd1CRK77XIhttiFjOvXTq9yXUBV8QIys/6COp91xLXC2syf+PffRe4dmSuhSXWnUl
MLt0JgkDoVgDqAmGfzErUmRJ6SDHMoorreGGeTM9ph1M6hupbetbTU7XXi6XloGuP/gTCG5E3uJ0
GSDYiWx5yGTPSE1ELLLceY+4WPFU6lWw62qoHIvBlN6GXn5ZA+EISW6SLyfeODWKClmPTpQ6ewht
pAiAxrrQa1WrTyqKdx8RAwvB1iCAa60s/oX9TfKC3LyI8UnSLmpxyFHwqGoj2YsGqAYRkHQaaZf6
vf3bZHG/XD+6F2ZWIyalPEv9jUhhEf1Ko+OnUMJOXpjIEruoTVEDiczubggb2PPMVuhUds1bAzlx
jxExUiAwXnpWT6cWmTRUXZBR9mTyojQBK3pVuXBHWMHu+vDOLukXQ3hjMZGUihZraKP5rqF/OXtZ
LHdbHlSJhyT0GtDlkhWTc8qg6GmxlylkufKtUWkLBTb4GvE5yMpzeUtZJFtl3RHL8TrJIgIAwAnk
7OBy4F20OHnowDmSj44uQlWyPO7mGiHlbenoAAi0QEyfQh74ERp/3UYPhWLHpqyRgwFtXFuh2w6p
bNEFbySRF9mRsVZFvjQPROgUPUVliSNzuqy+4+dllJUKom9IB22LODGavamH81p64dIReW1osay8
VVN/0jBk5PDvbea8koCDwXn0UakrbY288uy5L9qUuK4hlOTZRnrrdFhV1XZI3OR4H0my3CDUpC9m
3KKUO47Zp8xorA9RrdZbJ9O0aMUXnMXTmDYAo9ArRpBJQ+Wp6ckfkim18AUTbPOPiBm0sltXzviR
e0EPNmnryO8CyZ+gVDRKlMzoIFv5BhfWVPAbUJQBVUEv52JNLbXoKsdsZM/MgIZCENo0A6XlpnRW
qH8uGGJn8/7kLQ6RwzJPnE+IleZJa8Hqb+jbNEUPE3x19varixcKERJ3K6VdcxE8NFo3tM7oW55v
SCa5+2wYnS0qL6g6mSUsG/RT6F+v+6ALmxXiU3hJRQmZAtrCJKJWYVmFqeUV0kCTY2ChFDNN8pEn
4FrT9YWL2eGWFOQkxMxkME+3C5GRraC/rJOGbtvvWRLk95rjo43pVBkUOnVh1d1K7LesB4lrkuI4
G5TWfIEDWNikhbCcFCXQvUyFJnvfTLM6bcIqS+5rJaxu5yEvPwZV0P2pt9qQbag6Kw9Fn66KAdAG
y+gWzlH0ULNP6TtiphfOkSS8kUFGbnp92zkxOlJEI/tWaasHSQ50806REQo72EbZxoeoc8AjJaNq
/GoDzZH3atKaKB6jKG3sYA5NPsdBWBXbhhukuKE3eUKoM4VFdNfHWvs5z6O6c6MIrA66joCmXTmf
/U+FqqRfEPPI7uQQbbGv2pzUmufAmPwBBp6hdO0GQqptT2LLPNAA4pd7KYXiAnVnSR9uw6RqbcQc
an1wkX62YteAlP430KT2TwLQqngXqobUuOmgJp8rKYTdxMlAEu2itCk+Gl2vW+hxS/K8KZvG6neF
2uq/esceJhe2MLhXqlxhSgbkFr9CvAcCydDHpN4iNSnZ+5GTMbhSH4+1myWa/4H6UF98jGHbBTCq
9agCSuTgjL0WV0260XkEKgio2qq/mxFM+660odR+iKOuft8PBlwlNNLU3+OSAN1NyXX9EHrJ9s2U
RcOEXIkxfW77snss2xxdHvg4oYaLYul5qlX9l920enVo0EV6MJ20RMZ5BPa0mX3VmRCQ5mVHGD4a
2kOqmHWw7SfVf6gj9H+h22ud+7YpFWQ48sD/FebtaG16RELuWtnvLY8x9U+Aiwz/AxqH3B6GiV7W
Li3q7K7LlbJxERhSgSNpg1TvBiPPvg901GmwXdvp0zhA8rhDrK37rcv9hKYunyGk9poQdIgvG7/s
QIGZRavKPL8Ns1bOXQs2PqgrioSSiKl3wLsQ3or9fZMFdrWP0HpMH+R5AMmS5ZWikk8eG6Hqqcn+
jZTFU++2qjyAHtX6hD6GLFS9BGEu+TCqDowbhZo12jaoBhlZ0T7RfhVGYDibRFEG6Eytus+OtlSm
P0bAJL8IIecb5KttuhQUwRhoqFWNooM9+j8DWy5+6lqbKXtwz6nsWr4s5VBN2tJXKZDNZps0af1Q
EkYQRaAS6yXss2Bnyy2inYakDXRbyCN1tiEdM30XcEn++T/6ZBzGJq40rs9GfPRE9hMShahMV9Kr
F+5peugMkDS8RGkhFT9/lf2JAcNXkt/onj5oCCfVMnKzuwRikK91QGPNJjDq3INbOyCmRW177el/
yf3QaS3QZXwFgsFT89Cv+/kgl6rX4ibvaioW2yxNw+3120S406WTw8cxPp6HlHEWgxynDgUJLVM9
tZHoekJBNOXmt+UOrkGZGzRFWCK1foYWcvF/Xjd96XbheqYuBkxP3KKnA9S7IhChgupNaQzHV05T
56GhX/+jUdrWAeTit+v2zocqOsXpE4cojfTk8mbxSz+XlHAwvNnP0MRCsV6OXKcayu5WSmYDqYTG
mMd9OKOQ/eatRAsUOTDaZWHvPKvnUnSCvFIa45tyCmLYVltL+xlEiRyjezggeZsVVt7tOjqZ0QsM
Q2ft7XkhDUfillKdeLTwNls+XNopNHX0K7MbM0Lwz+tNO0SBIsoRnNEC4uxdy5NOQXIKeSxAVWYp
7Xu9huM0buT2CamYfK1Z8jyMoZQn2D55EEO3slyNREKJckwjSAHqhjq009TO7dQoxhEBdPvH9ZU/
32nY4ixDRivYhZaU02VgVHkhp8kNcq3dLkQgcAf4t3sf6oOzN2xUQ6/bO99pvFmADDDlZK4hUD3d
2X0f6XaUzrZnR3EC9X5gg8Cds/daPCmHqEkUutC1ZuUkX5hQkSBEXoAxAsdYGEWdF2wGpM0enju9
4yKnuwsltB1a4vLK+M5dE6BvHAZ7AtKts8JJHYSm1RqN4xVGqe5R0EqOLXD6/fVZvLBqYDI5NaRr
qWQv4y84mngslB2gHDmWuEIAgjYhOsjRIA+cUiVcySK8NBqd+kIieepp1AY5KmTjT5ctHmdtGHm1
kRtWUW3XQppqXPIZWnU7DpX2UFT5YN4MbdJk7qD4vn+IQyX80Ay1dQ9zc6Ft7GGktBj7tfToTxa6
qUqjZen7WNUhPva1aO4OTWm0D7Hc9v6dlU/6t9afnKc5IBRamb4L+wEgAK89SnfAQZfV7GhSCS2N
1vdGWR0VcCBQGO7AcVpwIATG+FZaSF4jNvAf8haYFKm808mTEBQsZ5A/Xll1Nn3yeY4uL1nj+lGn
20p68zMSOI4oSArdBOFXT61Vk4I6Xqj4Xps1hJdBb37roJZZwRpd2OdYoYsCqBF1mWVNxqmxkCJt
6BWmhLK9lGhx9ySPQPFXDJ2HGgyH6YMugho1DvF0OIml95Wpl743W5E1bwmXVaI/4K5102UGjGHm
sCvtMXwXTXO2lhS4tFFEOoDnK9se4ohT4yn5YqlvVN+TpTZ6JCJq1a9JrOVPqlTr5eP1Q33JGKlB
Hnm8YQGMLZIfQWMHgzP2kifVrbTpq9iJoYyv5JtecaKVE3DBgbDxX9rIBfrmDHYzznlCr4rkBamT
oWeNULscqMMeiOzPieOx4hUveH2KFQJDL+KpM69oyG07OplCgzAImA+qXNVbczbTdwhrws5a9tJN
rWTmys45z+iAUyGlz/VOOgf+w9PFa2HEH7m7JU8tMxMZ+UwOfTepUGDZdWYzgsODgNNBEzcffkiq
bx/Uppn0N6e2YQADUwFoRjQGLdOIST6amWF2kkfiMlO8sPABhvWBMQx7Le2BuM9OEDSu7U/1p+vb
6dIJhWiB7heRTQI7czp8jmLYd00meWk1m7dZPEtuwHN2ZXyXrNicTaEOIK6kRaTaSOVs1HbByiYT
FDIDdThti9pNY60YurRj4eAgQKP0TYFiMRyzd/TE8EOGY5FNip22dJEn/60H5FzrIFsD3146jBwL
Q0RF1J6X5lonitOSZgUQMY2+1bWiofzUmugf9v8Ph4Mauqi9Aktjqywctm2AQ1W71Pc66D8dt7Pj
7oGmDh0kY9ZlIFL1kuHFleO83QngT+kkEbItYDAWhueCrd/OjLHzW0hpFCvdzMpsPsGbTD6ksdZY
3S/MKXPJfUurh9DrWuwVIyWpLh6TqD8b40b1lXg7hbZG8rFZEyK4sC0psuBG4WoRSc7F2aeUn2tK
WjleGRvRXUp3ybEz+/hw/YhdGhAhGIk5oIvs/cWAAqABA9SfREVJOt7aTdzugkoJnp3AWGP/WDIG
YIPQFfYPaFz5Dzvl9Dgj71srQxo7Xuw0xY1OfmU/TmosHt9m4MqwP2xTxFBddHRB6TU9or5wlXyp
tTk4+Klkr+A/LlzLDm9FHJo4/WfPtpTERlaP4v5vyoRCoV2Uh6Kr+2NAHs2NpCDdRbVJxMeFVm3f
Pu2ChwfhOM7LWak4Aj5mdRm2qbXU8bvBHIFD2bkOKteUxrFfCagurTKAKxorgSMCu1mscqRFZZdr
BtGi5JQ3sAJq9pblGu6HcjKCFWMX3Bz8rkT1/BeavmW4M8C+Otg9yzxbQKmVcZQ2RDwaGpMtjEep
vMY2diGpTGRKZRCQMlLDZBhP95Up9UOaG63j0avUzhtU57XM7dRQn3eTL9fS3kQBOr4lzd8khyxo
ehSXcw2Vdyej327lQL08thfvDL7KC2sdPLtnKe540Bsdci7fa+Iho7eaJEx1rOkwDz/URU26NUxj
GwX7WerHrZQmyW2fxeOzOZnd17CERxZS0tQMNgjH0ENWB0qWHeS2s44TaXVIGvyhWiMMubRiIrp4
Sc2LyuTpBOZ+FIzyHPqeE9f1c4ngFmyiSfENvFw6oQbcG+rK/j8/e4IeTjQBCVG0MzyUxTk3QiWz
AQXMQ3XQm1755ht+JW8JA9J2h7B5nWwB5eif5qZx1JUteu5bbbrMZHF1yOKdu7g2OuTQHWgNbeIq
rXbQszRja5+MAPxW7qfLhlAxw9/xlFmCf0OQv10b2JZXBYF9kFBevOlafa3D8fx4MxxuCQBrJFvY
c6fr16RBjZ5Jg5UkTPfKjMJ3VufhHlziuLK9Lw6IJxDNT8ARAT6emgqnogvBKVte6gOicegP8Eq1
f2PzLa6HARFGkDgkq0NUdmoFkK08N5NpeaFV59vGUSq37mXtxpLqt0dJmOIpTTKS5uozAKyqBUY0
lgOpflyFa+fytIMmZXSRalfctzp9YQokDLc519/y/sszAmyhNubN4fhFASwEEHtoDnZSDitX2/mB
FggrVA6ImanGLkP2yABlOJujBbCraG8iJbf3cpYM7ujkKr1O2prc1QV7gIgBcwIDBE62zK34oabm
oItsLy9M+VjIfrKp0rnZ5VrTu4o5rLn8S/aINjlUCCvYwEdP90ee0Gqrxi3uw4rl+45S9wPvtqp5
50Ni9kv2i1hdeYldOGL0QADeBLAnupQWRywY2jrppNL2UNidNlExFMg5aNZ2Kqc3MsuIzS9YewkO
CDURpF0MzmqLFvyYZntzPtvHEDaWLSWgcZvr+ZooxoXTTNaQgyxCIBECns5j4lSa2XLpeFpPlrat
m2Q71tKwsu8vrdYrKy/396tSi6bQNd9Oje1xNABfOupEzW/qH5EVbr0xM9eoVS7aA54vJBZI1C7B
AQPh20Q1l7UqZoQ388J5mMxx2gRjke91PZbfnmNhxUiY0s9O1HOWWpTs3iLHV9ie1fvBzmqcbm8C
yKPKNa51kyxWjH0hqCo1yFuhyeAPYuyv5jK3EVKvgiQ5qlVm7YxA6Y9yXf6+7qgWE/hiBHJ5W4GN
AzzjkgZ7zGikVvM+PmpBz3u4rDeFU037YOqrraTkT/9/1hZFKr3iearaXXzsi8h4B3vTj7hKkvtW
imO3bKZkd93c4iT/NTiCYFo4BMHJGY+jinRdk9NPiFRqKRR1BOBp6uAiaN/IdvCXKV6D0GILPZ1l
c4Bjh3MTw0Vz1CUJph1NTT3wVa0bxZGMyOj4xn63v+xRmyDHDSkrRA+nm0NToTXJ7TI5AiJI9yDu
y6MvAd96+wRytIDv0uhDiK+eWin1psicroD5w+6dndEnwY7Xb+AFHTLkbzcF2QiRgGjpIX9/asrO
By0dzDg9BrEa7QuaxDS6G+dxN0xdn60Yu7TrSdAyeQKpyrVyaqwIZqsOSOgfpVDuacYKYVkg/DjK
czd6VrH6wBd+/NVD4WW1qOlQ/kXnkxBkcZRlZU5VO+/S4+Rk+RMtU80mGIpoH5WN/ARCZN6pkbQW
WV0wClYfd2/SDEfpZTFI9mFWJ5Ias3h2c0SCdkKjsjVbdzLbwDWlzJzcrm6+Xl/Hi1bJ5PPAAJkL
2uZ0aiWAYVmF3g3C2L21/V+cncmO3Liyhp9IgOZhq5xVLtvt2d4Ibne3qHken/5+rLtxqoQUfIDT
Z2EDZpIig8GIf4ix5bnA3nfOYGScJ6fXivOygIh8POjGQZfe6hA/LVhhKF7fD1qBQRmqpGHQuU1B
ayziQ6LFKbzeydzJtzaHwhkOjCUtz1efUneE6RH6k2CibeGeQzur30Up/oO30k6svQbkxkYlntC7
eDFIorZ/P7FJj+rMEGEcZGnm/KgFXOGhxz3RikcFgS0QyH8GbJc7Fboy3SZJ5/OwOLkfkEVcigGN
oQDVIfwiY2846CaNZgP6zLlojeZgqv1eGUGe7dXxkE71VNlkgeaVbIteu/1gh2UcgEOq3jva9BaC
r32OHac+OKKOL3NUTJcpbMWnP983jOnZLoks9+xqtlrR9FJ0PgkaJWoTWmsmeIJ8BAA72LhzPh5s
61viKUTpEqCuPJT3S0sW64kyU+PAsEvRHeqkBVNUwYpWDk4JlPy9W3DRHx8PKmfwammlzj+6GVL3
ehVWw67ODc5/HGhWX99sr8ieseD8wwLmy66xCdwEVNoz8Fzup5agGTv1nZUEdW5Vx3Qmn4CLuleR
XYMf/n8YRGpIvyT2dT2ZhI5AZTkJTWqNJOIwmJ79DXtt5T19tQxgX8WYGNTWuDdpPc4UUWRa4riA
6TsCrO/+ery02z/HIhWUOseQD1YflBdSmbedSnphZOUtGsr8UBRD/kZbCvtrpZXVN2B1iNhqSg66
3BbHHhzfM6npns/T9i+hpgvrgh9ChfN+/QWWtZxcLQ0oMlkNpkfweaxEidnSIMODNoy6t43WQCYv
rfndCBH/WTRz7PrW0hk7y7K1zQHnsB1o2WEAvloVTwh7KcqRM5WKX9ngYWehJ61f1J5+GROl9h9/
ha0NTtZF5CfsU9BaTT3CpqYcgOoFA3rjHyynTt+JKMx3zu5G1IcoKeEECA1K95r7Bc7jkOrwbEQB
svHjqTXcX5j9dGdS5WrnftmIhXgsEyQ4RhKTsRpJHUJ3cgq8WuOmrH6a2CpMN4hh2Vt1Cr3Kb0Ve
4EWAN/epdydbuTxeza3RLeymgKo5hKr17R3ByEdeSokCRaH3r2hjHADqLM9aM4lrWpv2pbHz9KQT
yHa+49YKoz39YmYHj3yd//VRpM1zlotAqOl8ShzFPQonTC+IEZWnx5OUT91VTOS5CM0EIiMhcb1D
48khCrdjFKRL2wWq2jXX1s1RkG2j6ZPjaDR5S3O+OGKEMqDa2p4G1sYJQWeOS4Abh8C8zj5DqsXT
ID/xPKSnqLKXM7VsdHq7Nj7yZXcWdiMhI2LyM+nEQDFfPyMdZykjoTXhrUg8AGOKNbxxHTEfGrVB
lHMKu5MY1ejT4yV+UVJZrTGfEmyRSg4I+2UVBVA3sMso40ZQyyWBkBI5UwXG287zEyaWNU46Md4k
wWSk1N5m4DgfEqsTziHEIAxhNafSvgIeRwjadcf/1FGgeaYj3gj8ts6VN2mFMtNhKPQ6hiSE8/Vl
WKbor1ijhX6CdF49hWW6oK3aJRArKXaU38ym1OYLbyk4uX2TdD+TTNTibCE/+WUyltjkowPMOMLX
jSluWZixHnMtKt8XPW7kx77tvOxXIRIed9koltPS9WZ0neoy0r7qejd/yqneNDthZ+M4QtOmrEfR
gcVck1zTMtfKdopFAK+lvuRTGJ2HPh2OmVIl/yZVoR3nsBCnIYQJ8vgDbuwagAhU7KUVo+yb3Qc8
EWp1U4yzCPRKlEGjVbBSJ9H/haNfdpgwHz1kLU4PjwfdOJjk75IoSvFNGmbdD1pnqrH0XieCvI+q
k7dk6jHFNfwrzLfsHC9ZdZmiYji0jpafhqnsvz8eXobW9Z6l0asRAKUO5HrPls6QpAI75sBYKvPW
xk58VrNlz2hoaxQqLZLEJ6lK66ukohHlenNKSr8MZeQ77jwcMZycdgi/28Mg7CrLETDq1ilZu3A9
iCEOrBFqtp/PUf6zEOVeTX0jlslaqczbcQAiw7z/ZNFkIilpdXFQCc96rtzaAxeJSmhre9axHJc/
xIvJFJBqt63TwaKZ9Ip2ZIxjF3qoqQRFp1RB4nbZxykbop1zt7l4bH4dCgsDrmWw7LjCAoyrPnAb
zYbJMasWxOUs1nfG2bj0wGwgGsN9Rxa+rhpBX801obsiMEazi/xBK3lvlU5bPkEyyMudm2BrVoxE
tQigOQ2D1ZYQNP+TvG5FkAHpw/0zTAOBvfkO9GUrZklaPg0WNFpe3W521/dV7RVxYEaG8pbj5Bzh
fkxvFjfFMM6ZnCMRpTho2rSnwba1mpZsD2MtBN58nUIsNLxzNfVEoC1NdJ0BCuNqrfR/Ocme7+j2
SGAkef+z99fEzhEcCMI3eRxEdjV8L62iZmZx+2mil7nz0bYOGNV6SWDygLyvSYaJNxjUzhcm5WJJ
VjRe0OlZdrCL5Usnuq+PI+DmYHwz6sFy269zBa+MXMVITRGMfdQ9e1aMwHWvuudqTvXTxFrcHo+3
sSPltF5AX3T/1jsyXkw9G41SBCF0ljOJxHxbhsY+Ph5l42sxCvksuRt9q/W+iLsMNK82AarR4+Xd
1FoGYLq5e9O36K89Hmpj86OECTsAuhbner2Atiq61HF7EeCv55lBoqZZAniwb66li8OqDx09uTRs
0i8eOLedkL81TyQmMCQ1wZ69isWFUWrC0TIRTGNGSz0cc+1jmIxJdVSFPp8fz3TrzQniARwWUGuJ
N5F76bf2BPoBYWHXdhFkMJJP2oxocqriW5g4HZwDBxhqrHmfeCiavmKhvV1TZj26ffrt8e/Y2LLS
BwoWLtcPjryrnzFkcR1i4pgHmV5Gt6KisjJJgy3k8EjShmQvR9n4wgBeAJejh0oRZz1tHTMts46d
IhiNSW2OjhuLb+qk6O3R0eDb5n1sv2tTER9n2ov/PJ7rxnFBCM6VT2tOJz/ifslrd+QyD808gGgh
W4VjaL2PVAeh6sfjbCR/snctAfvkKEzzfhw9XzpLqSw+7TiAgh+HNOB14ZyKNgWyIhoVfa92j4G7
OTkqjrbcvbK8cz9olFR2g9FMEZih2j7lmPTcmhHj+T+fGm8SqYCCddSrO6JrLbNKlbkI6AxZv9ph
wZJAc9LvHoINpT9ElZsc+zFtL4+H3ZoctRmKB7yt5YV/PzmQf1XnhaKgKp72p7Rx4ptS6+MOVXoj
ANDpUUmckVimVy737m9HMqTwbTthVgaqAQ3QD+lxfG+SthwOcRlR2Xw8p42TIAWOZNmPwsirqm3d
kaENcNuCMbTR2nOdsX2m2zJ8A8QhpK/vMpuHPlF6LfHjeSqtnTV9gRqs8nV+AOpHUrYa5tVqumao
pewaly7OMoX5cemRF/fNJmx+tsKDelvUVrVcB8KGwDs5yv8xwGZ9WUQ7/V13uptQW+5QxFNo84c7
a7PxJbixOUJS+Yxqzuqk6q3upggh8NMiq8dF0Z3PiCeZV14+6s4ybARAUhCs6l6i0ivJVhwiU5sa
WEYuV1dHaymHN9CcYTW2S3UiFdwLQpvLLmFOAJDodgKBvd9lipVFteiGLOi9sHvbJrb1nty/ds+Z
k83uOZ5UBQ0xZUrVY1tBuw6MzG4+2lWddAenVxL1tsCLuIJG8PTT4y25tey8dmQ5EK4MBL3VT6sE
CNeJHVFC+f6lxHN0yJTIJlJae1D5raEkJwetUfb+q+IvdjwZCj9aFlRG/J8Vmt4bt+mHs0Hx4fOf
T4relotKLmIlnKD7SU1jYocxyhZBOqflcUZJkteVRp9Cn/csR1+euOsjxabFx5FH+OsUOlEGaxZx
nQddFiY/xqJZ/oLVu4TYH3vpTRs982JTgbEly7v8BYTROo0d5Zs/Pj4egYUWG2wdhL/XgSzRCsVL
YLMGtaEha1TEWZ8etSSyhG/MerP88bYBPI/q3stzj8rU6rSWaT+4YNiTwJFhs4Q6+2W27Z9LIf7Q
OoDnKyPRoSQfRQX1VXF84FYvwjmlvRZRW7TUcLnVJSDIxzvm9f3NKDD6UFWGb/cqMFImH43BjWlM
ZHb7mX2iXkni0l+GQrPfV4Xdnwa1ILl/POzrSCSZAVK5EMSbbOXdb9SUOzupkykOGtgyHzEB1YMR
e6m39owc02UwYk0/Px7x9bXKiDxmqcljcYwA4/2ITtnwQLPMOBjjyDpSG8iPSuVoOxF2aznZFWjr
SBzEq7QLXB2eOLTrg7bOomtTltppznv3bdy7uACpRvfRy6M9Je6No0jbHnX9l4cf/7daTRHzUNEW
XrNxUuh+inLtZfGwd6dQOH9smjb5b6RbetP6JjuPCFn41dimxc4n3VpgSQPU8F2WT8LVj6hcc2RN
aOZQSc8vofDCJ5KXvTLI67ofTUNg+VSqYOe9CtvgO2bNE8CCKkWZ+8scmx7Smlb1KdIT2zvr3QDz
tdFF9gEIetwf6KQ27/98J0FNpdKKoo5kCd7vJC8rog4B3STIwyG6GYaiHUe1XXaYqVsnhKNpQJ7h
viY/uh+lZ5H7LtOpqrpQ0+d86t+njR7e2ij6O8kAuzyelMU/dx/NKRlQg6GGhbAsqfz9cMU08/K2
RhGoGsFNaRByjy3h3jqEpHY2ytYZgZgNihERAp5jq40y5ADW29QRAbDk6th7VvYECYEnWOzYYvZV
pKcAOc79l8czXBNNXgIqmQ/CxzIbefXm7XGkH1WAykFk1VN4cAHaHKYpRP3IyZv/LEil3aEzYWtb
mOJ4Pm9FMzzVy+K+q0tFob1TRO6vx79p68zIj2vSoSYrXr9I857t1cyDCNoxNv5OI7d4bw6wzR6P
svFtuaYtxkHRUaZ+999WcZWlFQ2tARdqcOCMzfTs6cP8bDfqnrTES0NstY/Ys+Q48ElsaB6rw8Fb
GMVaj8CepHHWHEil6zd1PmIavhh1C0YjjazoEDlVquNCVaqf1LzMo7+bqBSnztHbr4Nd9e+gVebN
sbPrwbjAz4hkia5bbH8Rpan5lSRb+cXUjdXZ7TxcYJO6ai9Kr1anqnXNjHJCHX/rDA/VGrDG9AHQ
bwO95WEZ6hyWWBeGP2lKO+xE/43PCTCXOeLBAxB5HRmSciTXU0BQTKX3SYOvgRdP0uw8S7e+Jj1J
UOlUtmkwr05qZGR6lyJ8Gwzu0B3Rk6MnoC/1kzWM6vnxxtmIQdLQ66Xz6Lx+NekireZaYl5M5GuO
WreM78ZOF88oTus/MQ3cIyRtjid7nexTsBLrqQ1OoSuLwx2tZGryOY7tb8VcZdeB6uW70e3dnZL6
1ueC3cm7kLcUYW8VYpXKG0rqllngNGpPf06b0JtZup1Rtr4X84GvJ53WXxW562jR2jJz0gBWUfKk
9XZ1LBVdO7hDWe086mXkXB0+HtgyAaCVQxayOnxlU45VFQJwEI01/8IIwDiAgjeuU4+aaqW4yRvH
CMX7LmnG4+OdsjFJeBm8p2RXnnL+KsRoKA2QAZtgTCkDWefEq9K3cZ4037NE6X48HmtjlwBSoo4g
mUJA+Vb3h90Ys0CdNAtidY7PYkLH7tCb9IwLTPkavynMP+QCy5tDklglsYCzzcG7D6CpYSzFFFd5
sAilPNhDYVzKfNlDmm6toSHVvNEEAP25voJtlEJhrcZ50LQmFe5IxEGc5vYBUNqe2uTWUORQwLjJ
L6iVrzYKkqS9p6hJHkRasfwc1DkKDzTk7G9xjMPV48+1cd1DxQB0A5MG8cN1UBwIzmZiqTy09TF7
1qZxxnknb/WPUvms8CddK29VWO4x7raHpYgGVwJR4XUs6VXiWjWDo0WXquj9nrBS+YPIrJOYTMU6
NBAuglnFPub6eL5ba0sXRnrKUbB+hYuZOSWDPsZZME69fYStF30qDCPy80nVP/z5ULLoSl1dCuus
MykltfQJV06ugq6wjgPa76nvVGZ2ykcDuMPjwbaCC/cNKFywN5Jfc38Ixk4zZqwt40AdLftrm02a
7idGCzU1a6xbslTGVat65zlB5XaPmbe1ppSYEXtlUWGSG/djY99coxNMVmG5lY52BBxOtY4RPovd
aKcnuRVdfh9qdb1mWA5E1aTRNXbz5FwkbnseuT3+W4zY881a4O3weF03biEQtACoZPFPkivu52Yo
bV3FRRYHvTb+F5tD+AYD4D2wFvcM/8zqbpAXHduF0hC1uNXn69wedRgH0FRYCcv8BL8Gyw0fERLl
fdz3unrOlrh1/DBExfCQqqHVH4RT2zyXIZb4loG2y8HRemW+2LVrIxQaWepf7dAaXx1E6By/Q+Wq
8fUonzBkN7PWfj+jXPhfag5p4rtu432KUqsorp6dwrc1XOjkp1ZI13tlpDuaaZrSoX+ahipq0NP4
n60WLn6Upat+0+zC048RKMm/hmEMP6SDDYtszGGXHW190nAtT6LhDULEbXeuvcT4hmz1hJ952kco
XmXGghIIbRrv2Fr10PulWitKoITL8nbSjcq+VWMP1n1UgNwfMPdMf1ktD8sPIZU2YkZop9pFr5pW
o6K0UKcdjK44zDFifIcuVJzJn62OlvwCbHGyeaoV7duEyINWYuZmFdlFOf2dCzx6jiG1JZApRTR9
maIp/UyUcpZ3refQl/LB+mfWP3lvTfOxazXxHcW7eLzlleld8gHOyE3RR7TyyOa15GCkqpudQhSu
7JOaR2aKnEKkG8S12FAOpZHEbxfwAhkSunP7L9Fjsp/0bIr1Exr8DbioMSmGzyg4meFxcc28eL+U
dfuxSmr7OdLUKPcXe5ya97jCicrPUFr+5lqp92u0l/nsTaiOYysFUfOqIJ/oXAoV2yqf239426eF
nj6P7TiMvo2KhXvkXTmS3udWGh2XfBhaHKtGE+nm1mgjP1K59U5enDvZUZt7szlUoz1p54raVHtN
1UHL/SiravPYoF7xVMxj2/u2kXrf0LXB/aqbCutz7WH35zuAddxnXRnHwKpQFfC5O13Mnrlopusg
yrlGstDNzdh3Y4QE/c6DOQXRpxq7I5o/RX3TUP6vDxWXRe27Q9T9U5uhPvoIDdi1Pxh0nA9tPefq
U9Ut1pdeCQUAMCtBnqAvULu2U3rU/gzKLXo/8JjEx9u1a+VLMTW6fYiq0g6Uql0+GkmZOu8LtcoW
n5wNV4JSxeLvNsV183mYW6vzzaozvla1vmhnE2B2+V+vDHp+0LV82CsgbdyVUhzPhbcDAO7Vy7hK
pwiRR4gYFsYD7wHihp+82nN/5bzNP+J/9k8zVfNO2HsV0iUBA50RLkiSHSpy92EP2/HRqWEQBGk3
x4dWYu3w2khO2HP9/TjAvioZUeFHLIYnKUxrxlolOxNlfdUanTywWz377qLX81dkdDaYIy/pvlVD
5V16nAY4efP0BbxuUp0e/4BXU6XlxDuK8iPpKq3EVYSfkgn/nLFOA8Au5V+TmOabpmNJWOpNev5f
hoK0CbSbK2XdTEqGoog8WPoBngPFMS+iBXpCZZ11JTR2ClQb9xZUWwrhJP0bHIVYLIAd3YJ+bz3W
//S5Mv/SkHj589eTFHOC8C29iF71KaN48ARgfl5PBs4TfoPvn3dw3cT6KTpr+EOZbpnoSzUMBDiB
3MHyWH0ps6uM2St4QKXR2LzxYmO8DDSIp4ttTKSttRdPN3MotFOpatPeKdzaJqh+UBaj2wwIZfUc
LWrAd5SIOIUoY5/zzmxUX2fcW4EnQvenx0/OFFwACtZA117BaQo7VjuxUEfVNcQpU50Q5XbTpVWi
vQbNC/L0LvOQ0EWuSlYUqcJX7xrdVuxymkca2kmWjEdZMH2aG6/9ezEL919bmNxXau6mup83TfGc
2kgkP89mZShH5IDd7ByiGfldDQuVlu3Iw/bxkXmVGMmfh6AW9iP0Rl/tsAmapxkLLw9E2BSHQje4
R9plNI5Z5f0cIsc4ue6EJiDKrDsEqlepJiPzUgBdLiGk8OTvQ2CpxWKM6j7nGRJOJ8Uo8lNWVcMF
w8fljR5b81595dUOkwPy4pP03Rf/+PsBGw/zplowIEYraYAP9cSxqj5AScl2ilQvgWb90WHR8jCh
EUmtdxXeDd1F7nJx6ETqS4jnzhiB2J700YrQnOoa7sWwdkufjEWyKuui5r00J80PPU3Kv1R47p90
Kzbn4zJrGPcMfTHyvo+tVlwNr3Y+521rj7dprNIfwAWy75kegl2aJ6l3OOjSD2tExP9XMSm9daiG
EHCDHg9a5nO/NvoX9nyPz3m7TMNfCP71GfRsSKV02Yoy90l7bIpqoPS+I9CBohPPASc+OBQ0PJ+r
cOhQYjaa6C1hK/3YzKEd+trsjl8fb8xXAZavBW8QGAjqHfAjVxl7UaDII4qGOgdzPdlL2H3Gkir9
U1ydHIUqGOhVGDivAoHqJMMi1CwP1KzTiXOx8tzk9Z4D1WsIGMNIFxyIKlL7d90dipME2xUwpcHi
hPEly8LxRL6jHpGz6fn+WngQmW6+E3EXP5W6tfzAbcJ4N9K3Pj5e1Ve5jvwhtAHJ/CARwoK6PwP2
GCJBg489tRVzPoWZRrBHBPg0qsZ0TF0seiKC485x2IoxDMdRQFCKUuDqNHDSvEUCT6iBRMW/kZUP
t0SJXAdHGNc5h2Zp/oAfljyHi3D2CHdbh95DXg5kN/gDMuD7CbO1Kg5ZVQR2P49PKFoP4M3CDi1k
b3j/eG03h0LygJIqo72CsiRKxXNPQpdSjL0ocCoRTBXEAqZ0cXcSnY3P6CKhTCeenBXW6+qm5hUR
GbMKD3tuvfIym2kVVKljnzRaDQe8Eson1QmLnUE35kdBiWIguEk6SOvP2Bi1TWa+5EFo190PYyib
Cxr+Xe/H+uLsIeu0jeuBehku65TDX4Q67z8chTNeEAObpuHZ6Dc4P97spsn9ss3ikxnPqg9cPzmh
QOL+N9IqPFYxmLvUVttrAonmohSLdaMKJrXbrAWhLbXcSc42MmvavVSDEEiUuqyrC2yoUGuaJu6T
2HKAT+mwFwmWeTqdkXkrP8VG0n5bwA+fpzSlPrso2Xx9vONWv+BFFYVqKRBHynUkbKvCUG8lLUpY
BSIijaofugpF9tREiiXNl/TAJa5eKxfbhZpi8tFKml2Ak4zBv11z/z8+FTiJg6F1upZK6colFYaN
qMjoJGZF3ylK/wWu25uwUVwnO+S63Zbv5zptxovb6JCUvcloP1JHa4OKOjA2C6NI8p0Ytwo3L78K
TBMdAArkeCjKw/MbuK9o5qRvJsNBcNWaebzbpfacNKHzs4cQPh7wW/Ba3zWG/j+ttvA+ePxN5NFb
rwkhXiLNaHsQbO9Hz6UnIFUY72o3SnucMjs+kHkpO/fW6iy+zBEgqUGDC7QT/8D9KCJyzClW0Nt2
0np+2/SchGSY3aM7VTsJ4ss2Xk1IsuGkiiWgDhqb90N1/NFCV8O94vUxvBvJ0peDhsC3fZiKzP5u
Fm1S+rEXjTdVRWXS00ZsDjplTz19Y10l7AGsrXwHvZYnM2IDZ9nZuxaeQLkgrQZ/mKnh/PHXg1qJ
Yp6LhyOGifLE/bZ3GttM9bHRvGtYJHH4IguK/eAMe2bnBbKK4PID8vwguaECgMjeWp5M5JE0FInC
K+6aZXjMWsWojw1o9C9kB9zAY5LVz4YGaXpnf67i6v8PzNSozoNde6XLMzdYThRlxv7MUu0N6E5d
CjREz2YEAKCYXfvyeEU3949EqJF7v6APVkHKKYGjaKmGPKhpDN9TN6ye7Va4iINDnBUjub8VI85G
2u9d2jTJKTh3e5tna9LUfaViAqLWdI7vP+tkdsvSxsi3942Vfp+SsvUutiMT2qoA9XriD5Y/1NR5
WWhcLFhl+ajlprkfE73P0cg9FJ7czukPzSJi3yi96pw08x5PdyMakF7xkqXRw0ld3wOGNfdFD17l
KnDw+JyhJfJvS3C2fJFb0R6PfCO83g0mD+pvR0RVRyqOM/J9di9U80A5Nf3eL1l7m1CFKHyxRNp7
XE5I70qs8aadK28rDEjgIUEak2YKxPej67Jk682Ke6UaXL6NzXR8g0WmvpOxbi0o4oEy0Eiu3vrb
qSmpc9XPhNfZak6mEUcHIELmSdTVHgB6a0Kyu0oQf2GBrSI5kiHLombIjYV9Ut/ScImPLgSVnXCz
NYoUrXoxKpRVj/tl67pkVM0ita8C5vhlSfMStYd6r9S3Ttpe9rzUw0cPDpEB6h73w6DcPFVQl+1r
WWcVJtNa+2E2FM/ngCNma6b2oQpncan0KQbyHKoQXlTnDa5JqPWbvXJUlVHzHSqjb/MkKv1wSayd
L7sVd3mZo1CA5CAI09UvDAepkSbwe/cSvT+gS5H52vGkFkI9TXRwd5Z9M/j9PtzqsGAinsdqFNnX
ahi0n2FnGv9wVIf83JfNaB/yxkyvCTS/T8iamFWAa8xgnrxwqff8ULZ2NHIjBDPpjkBWdP9lSlOn
lWEP9lUZKft6QosPll5H7+hKidPjiL+110ALgNFBNAoI7WqJ+fLCLtzZwc8cCAZ2KssxEph9PR5l
K6TT2EaujE9JxXA1Cv6BY+wSZq5CzM5NtK5+pCgxoe9ZFu9rcGQ7ndGNjQOsSRZ0gB+R9ssF/i3s
4fZcdZUX2ldnWPqncBDeqVly5S0rMB0myyrOSCr9D4GdVx7VQ8AK1M7XTww99UKIhgxqADP306LS
we4q1lXvrXgHPbOxnlDJeW1J0XAO73qnimXo0lrw1eLKO4A+iY9DVUYX4bbpAffq7vj4+21syLvx
VuuZqf2SDEniXCM7jg9NrOtv0RObeCHUyc6dsTkUqDzwqrjCkkLef7oKGYseuIV9zauEZhpeb+/G
Whk/l3a4M6mtReSyl7b02COSnd+PRImppXM0RjdA0IMfxmN9alq3e1pGWgMJhOPL40WUv3yVm1PQ
lHbjcDkYdjWzIc4VYzE6cLiN42S3LhyKz0mhaeUhLY3xh2tPXnZCCtWNfPwt9KcuHZLb45+wcdol
+JoNweVCbFnfLGJSuX/d6NZXrXayKh5/oCPrndO+kXQQulDaAnshTVBWu8XSszirayMiyeiqN0hB
Dc908J1np7HtN1HYld6RFaIN7XRe9OHxDF+AJOtVln0RytSgMCi63H/VDiHLXJkKcRMOmo9kAhgO
IoOeu6ZkxuKtp9VA3Q9TxWvSt4ZWhMhQAPT1ByWvyqMe9ualmWxzOdtD1ix+7SZOfxkV102PQDqa
6LBo0qLPGc3a/Pb4x28tHO0HnbWT/62FU/sULHNleTiCoF8Mu0tXqLj1QrzP4qULPBWXHujm6smZ
c/f0eOitY8clAOWVmhEjr3ZG6JRhRldFuaq5Oh69ftEvYW5RZiyncWcTbp0DtN84cjpZlLU+dw6H
Ts2LJb4VvUi9S43VyXLA4i/rftihof9wB0P7Pikm1iuxMN03qcYL6M9IxTL3IbZIxqQsyb2SeDcy
rwN90Iubq0009N0mPM1O9KudxbITZTauIqj0PGWgMEtr7dWpT9IkUs05xlHGq3rbF3GEP3DcK81y
EDkIO5qeXjee4npE++vxN90IcNR7eEBR3QCFuA44+ijFBYdWuRoIN/fP+eAmNcW5kjd/yd99aE3R
1zs308Y+AlEsnXro0GMTssqQJxHrlZekyhVzwM9Z3RWfKdh/zjt32PmCW+vKapIAUr91Xm3YzLF6
RdPL8JplqDj5qpLzmsHEPKhHZ0DpDk+N4jQ5Zb73Jt+aoaQDSa86+mHr7TurqJ/Bvcd1IeuEe0wr
paD5aWuJ4TtTs+ykwBshAVAzX8/g2iAsrNYTZmHGVYLPAs0cPbp4nYMPO+IqbneFDdiUl5Jw/69w
suhjgdrfvLOFNoenkIQmpCHx4qvdmyqD4Li64ZVUS/kMWwYj28hp58yn/VpOb3os7Mur6SZlc6uX
cVC+PN7CG7GC9jZKdAYNH87QavpAMtA3ahJxS/LBGf7BSBQdnZL9NxwXfcTxs3IdEC2pk/bC77G8
RCPPa6v/QdHalMRLlhoY+ysPKhyg6jmt8PFRpjZ6ypDp892sxyPXifKdA6Rt7S/6EcRhjhBNaPn3
v+WuZeFm6aI4yrWpbSV69iojUuFj6QJ1KRCbt9IpIWf6vdI62VnYat5+haiVTECHosw510PeJBcH
4FZgTZCAn0bYR2+nHmHzna25+UPlewkPEOiM60zNysdK9ZpIwUZw7C2/r9LohzIMjXkI06Y0d15n
W8GMTYjnAsGUj7HK1kDb6WmY4swlCpuHkVWXlm+iT2zcIqOKfsacnz0xiI1siRsRaqrO25Oa0OpO
JMfpkCpV4xtMm/zcVk55XkZ7j937gghdZSwkKihnwiIA5LA2i0vdJQY7aJGxNJ3I/wHDqMVPsORm
MCQg/CYf3eXIC+bOQy60V51FuZX9CAE7tOo5udGXzpKvtWmKxJ8boxmfwmLo34oxBijYGXQ+DvOS
ODM9adpqgZ44VfMh5rVu/6uQhXX+mFcTWQ3en+XODlm3UuU1+3JoIMCB4Xh1fEdTm1K6+8gCeJnh
3TR7AYKoSIyHX8+zFz33iVo1Bz30IvXQLy0rnFtmq59BXmRvKy9F0edxQNn6ptSKOMt0q3imrU6X
DZVGHQ07vmlOWN3iGnioyPCxejzKxtEgr0E2VGoxA5Rfbda61l3gd258yx0pFkc6/D7tlurixIX2
/fFQmxMC1sT/wK2/yqYWmAtxs7DEehShJovjyEHDd3tn2TZuW/lvc8yl+iXv5/uglKl1qlK1jG9d
jxyc4jR15o8NLhplhVFyZeoogGqiuvwvc2MR4fnx/lxHGKTEjKLuOIB6pIHy9GZTSY5l7WY7a7hx
y9F1JmcBciyxhfLvfwu54ei2pR1lyS2NBE8i5kiRMnYA3Pp5WoTTxQvduHpL1X/4bOZ18udOgLx3
mKAFvgGi1DrQRPVSTWYayUDT8CyjqXuo87p6WzRqeC26Tlwfr+tGLGWqSPlIJU5cz1a3+ijaqKKS
Km5onCXnBT+8qwko/hjPYv6qTsAc/ng86pmoJkIbxtFgHeGwM3Jw36yjW5621SkTieWPSVxcwiqe
rmpd/A83E6ghSOlofsIDWLf1HGOMMloX0W0eGoxQuqw6z4TyM2CCPVfWjZPOUNyAIDapU66zQUJ3
Moo6jW6tDeg+rG39qVYrDZx23Nwer+LmUJRr2arSgWX9kgBOqGWlzusQ9lxxWJI2ewrryA2UvB93
AJMbxx0tamqCwL3YkevXIFLm+Ygko7gtszUXT0MbGo1f8SA0jlW9dLk/iyQJv1k5El5fH89yw36K
LhsAWJqy5HyvNqdmpTV4Ki26IbGZ1hfYHTiYT65X/oM2rf6UTiSe536pQ+NI03wG2I7pk312bOhx
Bzvp+/mgGJX5Fby/ZR/rvnfe9DZ/cLItgObga02xk6RufRiJHkPclguPCuB9+Ej/j7PzWJIbV9r2
FTGC3mxZlq1Wa1pe2jDOOHoDevLqvwf6NyoW/2L0xJmYWeiEUACBRCLzNZNtY+cyeNdRSMIojtVX
qkA5MKVC2blYtmrUPF0tuqvUGQGuyN/yW6hSTHxAaOp60r9Pf0kaoOb4EI8gyaLqUIg4hmzQTicR
JslRNLF6EF2yp0i3ES4BJdE1J/WTOhZy9/z2G9rWHZtUbWTftR7+rappeGqnyTyGLnqvIBTHj65V
/BOmYtjZGxt3HQkF9QkpfIZe4uoWWmKrSpKJhm82hN01nA37D2cavb011vn9q4TM5snBOYMDdu8V
PM11b0yI82A+ZKI9ULcKxIM56fr4rBdG88PT5/RbVyjDN6sb+D+YaVzy1oyrqjorS5zZF6dD4uD8
+GBsBG2KdtDsNbhFrP8qaOda3sZ07jGJa5rsfeJEy7+2Fy2XCj1Tv57D+vvj8Ta+8i99Xd6P1IPu
3Dfj0YkM26bXNTb0XTz7X0dLPsSN/V5E9rdGM/5XlcBVHo+5EXeAERJv6HzQ8F6nGQAbk7LJJpz3
IqP60YYApFS3gwcyOZRpl/pvNbPNnVi3cXo5ujwsJIoaKPpqXW2jiCEEVbiMeukPKk3doS1Kes3N
0hwfz07+Tat9RSpIWMOjQypurLav3Vh2ZWWoQKDiPiQHpdPBY7V2Wk++EJw2v7IBih+rWBN/Rs3S
hge8LpS3Ad9kSk4ezurySWmfrYNV1eTKkAgKClqt6AUKUqr90jpWiCOu3Yk92NXW4qLuKJuM1Jzv
EmGrnfByMymWjEmfg0Spoq+NFaeHxBjEf5nYb0PJ4PFbVBoSZYimYkCgr03Li+iVH0adjudZy8b/
cBIp6KDBgtgV5t6r+IeTApKjYY9ZbDEpQa3H6vPSEBxcmP8Hd2rNy+N9s7mI5NzsTfjKCLbfzqw2
DIppuQivhpq1iV8Vs9qf9LYr/jG0Rd+zJts6g7yNeLHRGLnvnSXQo9S2s70rElhQnqAyFumLB+8h
O+rzXFNgSXUt9i1s5/Za0lsTJQ0Hi02Ql+3I24l6xmSP8axw/N10OIGlc18AOasHozLF6e1rSgWP
trIDyOsOk6VMiT27MYa/SF0v554+66E1I/UKL2SvArw1K84cFRIM0UArrY59Fw9qPdE6v2YVdhiF
qkWcPUSuhqUWe54jWyGGxIm2oGy33mXao+OVKITTGKzN3vkDyfsl6ENTfcWT0ih8rUPMjmdWG+Co
Pv4YpUvHTgTfujWkwjCoU3KUu34y5D5lGQuLh2Echmqgi7Ds8cYZ7X9UpDX/FXE9tMdozI1vZAv5
Hp5va6mRDjGAbzP3u3KlRw+PtoPnXJ1iLj50hT2da7e1fYo71re3byDKj8B44EPAYpI/5bdw41Qi
TiwavteqH8JzkxrLUQyIU6mt/h/MCTERp37PQNLUZZVfGvrM2woM9rX13OW5to3h0AFyO8TIUvlD
1uxt2I1NxOJJMA04sPvmSARHsE8W171K27sW7Je1fBGgGBsqUVX0Y7Yybq+m1K2/eERUT7PeJv88
XtyNRA9QAlcyUZZm3rqLMEddsxgVwCG9tpxD03b5cYCUeno8ysZuAY1Nn5LaJWJ363ab4U5StQif
wn4C2j4KM8Y+U58uaZPtCQn9Sk1Xdz9pu8rtS23Xus+mCrevrN7z4Ieo2XC1xiQzSr+jt/GniPPR
+6bVeege877Pm38ipbOeF+xOXrQ6NOqvCwTL8WQOtTO+jGhoT+exE8i5KePgNEHWzY52UJBdL94j
vF18qmr6Ln7aNMuLPbS9cpjHJlueh1pTP9EA7pqTMjlLf1nmcP7bS+shPiRhqxtnfZzFsQcTWh7G
uYuToMq1yJJlZ20+AglGQnkeQ7/xcu+75ozz9GqVMJkPupGY2rVM2vyTtrSR7bca6KKjDt7939bs
c0DOdVt3h7QodfU620n3P6USenhsop6t5KLe/dHO3HnyazszyyDvBjHQZzDrBMyf19QHtU87AEgq
bbKTVtRgxF1UvF5Sb06zbxVInT1B3I1sG94Fj21OARtwfbznZljSXp45qlrKYURuOFCMVPOL0lqC
QS/tnUfH1l6E58GVhgQE8pOrM56QgobWiC+7NarOa+VpiBXWAK8G1ds5W1sjEQNh60AdpAsq//y3
wNUNSiLEEkcB3PqsOjt9GUUHNEdRD9ARZdtDIG6kE9x85NcUZFSaravbbxaAHXg7K9ceYNCZ6zH6
bM1T62NKYB9TBPeOVI73iHybc+RvBXZI9eeukS5Qc2zBI9KFHMY24OOFL7pX2R/6HGOQx0FkK1hK
2V1arHg70Au5Xc7WmUxY3g19CQArAx0hzM0urtUktt+gYuoejXyuzEOSq+aTPvTOdEhjxxDXx79i
a8LgjmTL9Zdyz2qVw1gpcAilWohWaPQFtGx5MJfG/Vog4byzU39lYetQxi6ldg5iFmzyasZFAt2p
SzsaVCSC86feK6uf9EOdGrWrxIzPeb6M87nXwzJ/t8CTfo46Gmh+2mf29wzSz0sBXbELjNxS0NNd
8HPwVQtEE967ipm+JhF+XodkspzEV+K++SLyMnMPY9tBqrS6TMGPit7I/8BupF9JVUvljHyM9lR4
Th77o1uW75ooTPZ0gTdWGDwLWnDo6OG9ud7HEzU55AN05eqpxZcsM7xLPduGn6vTG9U05QsN8D76
F1QTJRRbnqibA5rqXugAxeizDtmEuiD2VnWy8xm3KkmUmk2X7i7uZvAeb4ep6tr0msLkMybm9Cxg
CR5tqwr9wYMbc0hL0/yzHuz0NNnZ93GIk1PUa/883rUbQZafQBUJ0C7miuu6sNZTyCw9hWNaGclV
MbMcW62kXk4AhbSzlpXRDmhg8yNSQpKXvSnR17dzbhdED/J2Vq4Z8Ha/DIf8YHpKckEcwd157G+k
MJSeIRxRxJR1stXyimUyUqs3lKsVOeU1QS7wOnqNtQN03BqFh7UEdGGsdVcUSkqhowgRKtc2Mmf0
ywHG6x0Y3sffaXOvSJCcDYWNLuUaT4nKf+JOMwV8NWycwINqei0nw/ww2FS+LW9a/qVnraKfO3j2
s1FYS3wEAWa/Pv4ZG1cJ+rI4pfCPrGGsgtzkjciOKAll/Qzfrhl79cOA6dGJ1HShejP1F9qG6c53
3BpUYpWAH4AtR3nldssIOlOFGY10uePIPkWqEqIa2pbv8zgT1yEqxUe9F91OhWHjUvHYoTCT6D9z
NFchoGlFYk9TBRAsTuqvWhwbp6gTgBSR9jlOSlO8m1LXPCAPNfpa+V8YGBJvggI5D5z7qo2K/E4d
WYJzSZPzfdnV5VHz6n9Cl0qjdJvfWeL7TUxdA3DH//NAvGt/pVqn1brehtd4cfTPDppp0ud93jn7
dy9TSbkAioV9ItqvSMnffshZF53o6GpcPYQXX5uhqT/0HgYHCM45L/hJorY41oASwS+9+aHB0JBK
eJVSX5R4pduhCyTFU5QLEe4b4l5FrSYWP1s0fWbfKa1wT4Hq/rQSCihpSL1A2rW0JW6Hi2bXXPDl
HK+gMdg0oq+U3I9mmJYfBmcS9lGrKYQelrLOZviGda77uT6W5NTIw6Q7eJaNZeeBjOmqPD0kSqvz
k6adrUbo9zD30lv8DOB+cYpYjW+p6N3vrip68xy1hjPSVLJ4TDyOGRvDU1GWFwzpEbfpKgz3S2wM
+Kx1V9IWA4ovhSUfeU6cG7NkeG5LUJ11njtPel98e/vIOsm8lFGnor2OVl6Pg2M7NiMXQIi6qFvn
79TSFJOPgNF40ZbIfdc0Ag+2JQ2Dx0OvdSxMoBbsAWnrSIuIdGW1A0K3DbERtUbYtc7wlDWdmR3n
MtSP+hAvl0lrlec67Y0fHi7UdI2S9pyqRujDGZbkW7vxW/iyf/Vh6e0Etrtoyg+T1yH/AjkEyft2
a1ZGubhxqg/XflTsr25pe35ZL84FDsLyufFi40tv5uOXx8txl2ZQfMNsnoICI1KBW+2BGnBNZLV6
f63zWlVPxpTn19aJkw+jVynNGbKiuScafhfSZL0PdWnZscGL0Vnv+jHjAEb1cPVK3r2WnswnBKfD
0+OJbY4CdkiV1Xzui1U607WNWYZhO1ybprf+rK2s/kB5wfgPo/BG4xYCLyB7JLffTJi5WzYJRYtm
dK1Li0XdmQbkXqdgay407JE+UiH/8ei+HaWdsTCZh3G4mp0CLb6Z4+PoxHtSi/eIJD4MsByp8Eh3
j7L17TC1oFJhhwXDjI576XHXaY5laGt/pDDPk2MNON7zKYBYL0tSVX+gFFa5R0HLKj6g7+ruXX13
WxP2BjgSDMVJaOgoyPD1W65fOV2MsrtYrrHSoypjlFRd/C5Xq9i3vUpXaHxP899v3DVyTMprDucQ
zMtdPbqu4qEFAHZVSE//6M2ufSlqRC4ej7I5M8iyMGG417mQbmfmVollDQnKaRGkuUNl4qWS9on4
SPtWvyAn471R9JFaBoKuEj0v5fHImlanPJo68PGaNV8XlIxPHnC2Z6ds0k+TgSjcpKEygHynuEZd
Er21gyhHppfA/7hjqCXfTtVOaAaBAlGviiJqqYCWvJozvQTbU7q9wCL/rpvHtxyL+4yvJ0Gx68eh
a8DV7GpluQJtNk9N6M3PXWPHn8bGLPbYjveJBINh9QLPiOSXDGYVrSc6hE5n68t1zBXxzRj1+B35
qJuci7EZPH8w2wRhutbq/hojz3xxB2/6kKZUBHdyiLvYQJsGsgA5DehbKfl+u8Bu1NVDlJLk60Iv
/4Cs0Z1Bgu1a/2wNI8mGyJ/wb5grt8MMRVdZqcOWZYOFqR+JuXUPnhZNe2/vvYFWt0Om6YUi0Hq8
aoVivkubQZyKLH8z6opV+206d0qkTNKw03m5QjZu/bgcltfaTP8K9WU4CkQWdzKtu6tdDmdQA4Pz
I1mlctK/hbJmyakqIhNxtWd7OVWF1QaJaU64Yy9IGQ6qESCeORwfR5nNlfxt0NVKluWsWYs5LFfX
mrTL0s7oBItR39l/94dOo0DCuZMFYTbhKrRkOq9re+EchPo0/xHrszh1TlpdI6gOO0PdT4iEHYkO
qJgyi1tftoqSxl1rDsa1VLL4aMYgeMy+3aO+3U9IjiKPNBVn/CFWEUtWLMEcCuPapbE46HM+HkZj
qj8lPdX3x1/o/h4AsMLGgEEAdPTuKYvAbh5miWpcZ6jTvhtirzsvrYvEZpEcR9C43x6Pd78NEY0F
Po9jPBwNbp/bbdixu3PI7iYFgXy4jIUqflZVuhyLqI6SU5p7cOyBsqo7hZitFZV9AocaDKihdRm4
giLsoBNhXgFyxkeQesMh12iWV4qh7uz5rRWlFiPhFCwrpaXbGZa85ISKcvFV5JkI4q7PvkTCXp6X
VJ//8WZKtjvlH3mIbu8csGYkTdwG3Dz2+glneYWW1DHsz1FPmv/lSeaIJ8jeEBKMuqh00ttWsS55
UzgHnUp/gKp59dfjr7qxvLKfS5ZEOkGmu7qJ0DVtc6SHnesSaorfe059MLNQQ+8unS6Ph9o4gVS3
Qfwz5Y3G7jzjRY82sH1dKiO+QIqzjwtrc3o8ysZHhBrDoQCgSi19XR6EAoqyFmGUbEU4tOYspDRq
qz9CHK0vYz4pe+nRalp0YqVzAG5QdHQJLOsj74ACKOkw5QGVFffZCgvyTDPee99tjAIFmpsFBAkA
4/VWyZve8OY2z+HrZOWLFiXNcancPZLn6ozLuSCnRepKw4Uu1t1cTJFlNdDPwNTQS8dFSzshavGn
M2hL7Zsz2jN+BBLibcfg16gAYnjU0Tqjj7vKaPuu02BZNHkwWkn5OaWJ9YRaX5r6Y5lWHgZbQtKI
+wTUOJI7xh+ZSz/tv/wGyVwEYwGHYQ29VAxznrhU82CYVfejZZBwTaHj+CIK04OdLM17RfGEb89p
8T03mz3Ttq2F561DO4/HNO9N+ee/3fF1TusXKbEqoM2sHZp5NH6Eji188rPuoCt6+R5yGFHv8VnZ
GNWAUo98AH16VHhWAW8Zm6n1ZlEFC2Sz16hT9Yuwp/Zrq07u+7TO/knAYHx/PObGRmZ/0bF3aHLd
V2+0qsy7pRnKwKuEIV11hB8ran59PMoqssotBfyAC1inVgPiflWnQakJgJxQykBDffinK9I0O41i
zOormQ1qVwUafPh3plFq+1nlIW9St2GTvD7+Favg+utX8AuA8iIje9+iHTvX6zUrrwJZTPgemsNf
czlbvpL0+ufHI22t6i/QIRkigXx9S8ZavSxdUlSBCMPu7OX4byzGlF0ej7I5H2Lcr6uC0vIqKYzb
JG5M9JqDNuXpSQuy8SsjRPe9Vd4Id/q1dChfUlKA6INN3OpAtJZVpWUsisBxJv0rupwwQnuFs/ve
ViaZAevVYAdRGiP5SSHSKt5+NCjNSG9k2dECznZ7INGJAUmbdHWw9JlybPthDnK37k9jZRbHvtDJ
eKbO2Ml1Nr4iAAUHB10LoBe0h9WgaRWVKP5VwRipxtkIe1Ttp3FP4HjjK8KKoQci+/gSs3o7ilEP
Cm/9sAxiLTf9LKnrS23oqNApynB6vGHWVSH5GRmLgojJo1p+ztuxspzavapw2lt8gKeL0YSiRX/V
KP7IR1w5zzXA8+fIbob5OKCHkz3rMPaUUzM7Yjykqlfmx8e/aGuJ0ebBhBN6HEKkqx80FXHUL9rM
5Iep/EvoYwcZHn+znTfb5jDcnyCsKLzRGrmddz+1mSDfqYJMtM1rNGZOEA6usjMZ+W7+LX/8tbr8
9SASZR/kjmwvklxvJk+UgTV4meGXFDPto1H0qXbuonh8Mud4Uvx0UNJLpbuFtvN1NybpmTwHqIdD
QWLD3k7SGxVIqu3SBLQ+jM+KVY34Pvd7bn9be8ij/EQQoEtImXQ1DJ2GkXdJ0QSRYqpfPKUJP9SN
irZlo7UH1EaVQ41G9GEYlu6cd5p30LNJfLaUItt5Qm4cHHq0EKbpWaJsun5CJlPf6F0cNQEokPJl
sK3yG2UiPAKM6K0uYpwbJGjkaxUkAf/In/JbPpDWyTJpqS2Cnp7WaSghz7GH3tiClWAlknGpAwXp
hMxvFQmgO4cKL+UsUJ1yrPycncZsRm/gjHJ9qmdK8e0fETr10Vu3DiOT6UhsAiTgO7B8XpIKpQJi
IPXK6KPRwfuGntrv0GTvNiijAB7iAqEYS165ukRCr+lKV8tSOGRO75fQHv1yFntn/X6DymHoFsB+
NXigrjdokUcJGWqYBNEgOONzAQnBt5rCq1+GrBjDL3rcLerTOOqtcR7UIQHMXlilcqIDsGSujyBH
qgeP49xaruXXt5VtUUnI5YGyzu3Cumx1J8YwpKxnY+LeUkkfZzPChc+Z2HAYhoRzUDfV4vixm3p/
GWS/oQ8/TE3fhXEiG1ldlvlqo/Fkmmyj/aHNkJPOS1jEn9umzkoEkbJkj6lyd8hYTFQgwKBDGCXF
WH0zsx/KeEiNLEAFZnqX2mUSIO4dvjZ54e1ct5tDkVyApkZC5C5+KR5N4sJbsgA2UnbFH1HHayZz
rsmSf3n8NbZGIj5LujsgpDu+bVRUQNiiLuWgYYbcGU0X5OFkIKyQK6fHQ+n6+lJg7aC78oyThSii
5m3oGJo2w/4hzQJyTf3vyqRPBnXN8L4oMLpmP+/y4qfgG/xMUxVnYRvWretrUa/+gOTW5AfR9KZB
bztT+vdWPVivXd5ZysnJE6c6TLpb/qmGoan5QzsZXyt3CBdfzwvQpiNqzHuz2Vy4X5V55EjuY78u
QPLTcE8DZ6xwaNen1BdqIw4DjZWdjG8rWPCEx5+A9eMsr67saBrxHOoISWaimdeln5NnKfB+fvx5
tkbhygbnhliVRsno9usAyO283HHSwE4995jGyB5VyWwf3z4KJ5+7GaALN8nqymxRZ6OY3yeBVczW
0eI9doZ3uKcqvjEXIjjYDwl2layd27kk8FWw02HFxkyP/pjcrj1aNkrQb54Lo5BHAigHpb9uMs+K
PZZGHzGKOjcneEjZ2QxHYydh29ho9EGogGEKSzq1bv80ildR/cuIBaWYnZMT4Qbjh5Prlr5dY2my
sw3uMjdeaZJNIomt5FDr+z0rYiQYuyUNgIfMV/zES0gkOaw8b/CWb5MWt6dETY3/qXgn7uxzucNu
kkY5NA9v61fYu1NLa2PHlgWVNKi8xjg2RiQUmE/agkWkq1bvtXgav5ZA3f5Fvdj5W6jW34+/59b4
UrIZDXxpQbE+AXZoZWXZYA8/lEU1n8n63Ab2cN67ge1lWfQ+1UXz2gK/609ErKY8GoubVTtPWXmN
rFcB8VlACwgK3qfOORKhRii6LIjVobgYU0sgxh3B/dhpafkpzlLcyIXZ7pWYN7aZQamW5weZJLts
dbsplTuifmsVgT1axnwI3VJYfkL1G+wtNIa3X3A8Igk0sqTEu32d3xkOaAwM14JKjKrua4vZfBSu
iP6ejNneS+k2VvRmMHkv/ZayZmYoLKsJebH3WfEOo9HoaHWt6rfpFyVVv1ehVe0colWpV6Y4yAPQ
akEJl5C6PkR90o3Cq80ssFCMHvwMZ5nPbYna8KGYEtWVSkrFtOPXcucgLQeluY9bjAQAAZq8nWbV
Iuc51HEWFK5YXtF5j5Aem+YrWnfGMbLL8TzkIjtOqa1do7YaDuAfmhP5Y/NnO5d79JetRedihJOF
rRSQqFWdi92D77vuklhYKRNWh/5p8tz6uY/i9BjybgIunlXzTgjZCPwyUJJWU7JF5XZ1iaHjlJW2
UmVB2BXLa1cBABOq4v75OFBsfV46MVAIpUAK5l23K41EzzQi2ZsFS+wq51IJ2zOKBOJTA/rgY5b0
eyzirbPJGeFYcl446qsva3ek562nsJYG9eZhmaqTFfXuRbGLPXH+7aHIy6mDcums72d1sieldoss
sBvd8i0x/VmbGg7vnqXt3GubnwraCyBBOqx3ISDFRlLJAe0HcZ+Wz6qjjE8htbWdcuvGdUY5SWbR
klV2J6zsqU3bOyMPLTMtluFDGbYRJhBesogTZrJpE9hJZOhHL5yE81TGVfzv462y1vaSoQDdDiIB
gkjkVutXw2K2jtMupPJZ6SLmCHJcvUYKWgOBsjTZ+N3AvSf/VoqqzA4uRfXRT5QZ9Xm/85zqy5yk
tnlM67RpD4uVmuWpXJCJPnu1p+35L218EH4pTjsmd8A9/wmccWnEDWenbXnVZHlSvKO4sXN0tgZh
H9MWppfJMKutPIQm1V/Q1UFC+/7Cwwb3zmXes5reOKDybckmBr9OrXR1QFEQKgcpCxpYY+N81MI5
+dBaU/K/uXbzL4Jcfc8uYGtAqZVEveBXx3J1nzkgGpUY15dAqSpx7BK0NLspmt9jbv8DW8729HhX
/UotV0kCmTq9UZCu8oW/SqPrELuOsRrioCtE9WrYS2z6UPli60jPu/ykjeFQvXdD1YYrSMfzOvbL
QHnfHOcne15062z0mZseS9ly+1+aFkYBLiCN56PdFYPhq3OG53KXlpN56CcdZ6pIM+LoZGM6l1HV
dg3qMHB8FL8sUg1DzybKENCVEjznXC2qs+ekSvMkQtfo/GbKU+NYpE5D1xr8pXNutKlKjo+XZCNw
URAnoeD+4325XpFKL00XGisaMjPOSaObjWgPGMYx7Np5Z6itj01XlVycYy0LVLfhP+ePRsqr8AMm
bw7CUi8/d12V/4S7qB6STNH/y+6ilokQCJpRXOyr7RzCqzCLqFeuo9Y7R9y9XiLN5L1ptsPTsih7
0odbZ5SGJ7V+ghfl6NXmWopM7QHvKNdQVdtjYuCKVldLuROZtz4YNX6c7VjL++60ig55JDxbuWp6
p0LtEtq7tmjajwiCZJ8e742tCf0+lPygvyWAEMRQZ3aRUWqNvDuYSlZcnAoxqv8wCkwDigJAJhBR
uh3FtpcpHiRjJsqbxs+oi1/o4qU7o2xcaDQNAR0i/SaZzKsAmifxlOPjEAWhY2AIkmnKCTp4coZW
qz8VuBNeIjdXj1FOzHs8v61t7/1C5eHKhWfoalv0aqfDO+KE9ZP0ROXIX6oh13wvY7rjUFiHx+PJ
Xb2KcZQuPXgNElp2pznkQQvjHeogWWbOyqvZau45o/x3niNNHNBQySHOznucv81BpdkDXSH+s65R
dTRb89Ry42DEBPWUjctw6JvYCpCkcY5DZXVXj5rqTta6cRSQd9IxEZXFWtyibneO09oiVJQWvRu3
1F7qzO547Dr9V2XwjPPjRd0cCh4V6FyueY747VA6vcPBzbl/S9zJz70d5n6hFNGLK4a//8NIvPGA
kHMBW2tCU1p6hVXUKLK5lhD9QUswUKDBVhU/ij4c97DHa+CqzLMg+JDgcfa4g+/0A6YorrssjoO2
6/tn01Wys2PmhYG7d2R/akfU/E5WsSzFwQxb86dZGeJZLEWx1579//wQ2fzisNBalDvst2AT1cIR
VY4aeaIJ4xhrIrtg/NWfR72uTtjaKbwBxcBSaBUudBYKs23YN6fHi79xVmV04I6CPccjTL/9EbB6
ytGa0GNvsx4ptdT5uzD0FkmnzKKwYjv/YQPz9qRG+cuecA1qyKvR1MMKpVZF1veO1dQn0BO7+M8O
fPSeMOVGNGc30eeiikzBet3UmKoFl5eqVq5JMY4HmHnN05ypavB4BbcOigQvSnVWcMHrS3AuhN1b
OeTfqU7a4WiB17rOGbQuf+gS48fjwTY/F+8g9Hek2Nm63RWPql1VOozDGPqWdSi7ii8XanRB0ko7
jgvvgp0vtjUiFAQEtyh0YbW7ymFq05m4W+Cww0RAJx+L9R4YQxqFL3iJz93RygtH3QnoWx+OGgUt
fAkKvYOgilrhoZb3UZAmKcewMD1IAvbeKFsRnLSMvILKw30dO4RbRGuPVLwplR4gBqah4tJAWDuj
Mt+96+hC5P5ixNbl8Tfc2DCy1Yy+Jow/yE6rFfVGiktxqbItrVR7iuMqOWXG6PghsIGdj7f28ZHB
zpbABdmKgtW8tglF9XuZvXRIgiGOCvWiF2En8NPOw+XQj3qjfA1HS9hno9CL5FraliIOYdmCjMHu
FmiMmqruJ9WN6aNGmVFds74YvuRYfNrn1AotdSdx2FqZ33/tKiI2ypzmXVugLQJw5GjOA+J1Y6f7
Dm/YnS228fHBUNBbQq1d45pbDZW3KT0oetTUf5bhszot1aEqaR0bSis+VH1tHtuu63e+vPyyq0RF
kqTIIMFW89pfPf6QXm5E1ZAzOKWXvnajNvu2osWHPjP0g2vnyhENDPMHn0c9Dr1XvD7eeBtHGVSO
FGag1iivwdtYP1Sx3Y1pFAe2XhrlMWpyGqeu1RX6JZow5vBn1en33kAbaSjPA0BQJLq8Stbv+AJB
MoCYuCl4ip680/qqPVvjmEkXTY1NRIlVwwIQqGD8RurNr71PckaWRM+FIvlqulNUp5kOBjNQ6tD+
UDlqTcMv1g562jg7H3ZrZSHdoCwlwXi0RW5X1pltsHqF7IWkoUzphaFdCjvDiLimchmpYtk5KVur
CpeCV5GURrjTXE77IjVACKZBHA3Rt7HNagBXAhdVS5sdnJZ7r/IJmd6Z17tS7Az+q+i+2se4lZJo
8+YD7LouVVm9FtLVFqxsH6c9xFHFFMccHkf8ZCB60pyitBrodw5RfDQ6nrx0QWJV9xvDLT8ocTt+
iRoFWGwW6W35Acppg7t1pIVPjtF32WsYJt2r17jNezR58UOta7dezo1rVeXOidi4aKCbQmMiQmKj
uN6cUxMLMxVUR0SdTh8wGdUiv8eC6vz44G0N49Ez4X1C5f2uygTtKUOBMI+DclDmZ7dHVKk0nT0R
0I3oiXQskhlsQbSU1/mk3VpLb492EdQWrJejAQMFXWylBiFnUhb++XhO+sYWdNHgAuBD8xQE1eoa
GzB5qjPZLAmN1o3OYVtPgw9CS/+UFObYH+y4LiOfbYof96zPdYqnr+nBsG6nOf9Z6Fa6nJlHkh/n
dO7/NtB8Ww7mpDf51akc/oKpUFCg7z03bC/VEk2vI9SM8YOpxtH4qbPtKDuYJX4eB+zgI+UJRVvB
jTX0+Tsz6stXmE2L2PmQG0sMkw8HaqB3FFnW+wUhlKJ3eqMgWy6L5RCKYbwYkRnXQZ/y7507ak3V
lhEMj1TAPzB+4KOuh1vyshtw92OJMX13D+hc5dqhL1Tck0srj/pDrHfFzw7zxPpZhTquXupISUff
jhwKTOBKW9dXhkbrqc8b6DKOS1GL4+N9sLUkMOLA9ZPTI4SxirKlqhXYz4O3xwOc76/W/VmZ5ta3
8vyNWpe/lgPSKLBPeGQgvldDdWYVxzi65AFCqdoZMbTur7AIy0OvL+W/b58V6tFwPWR3lf7QbUCP
ZHe7RgImULvKPc+ZYR87dE4OdlZ+fjzS1jHifgIgR3kW7WLjdqQxzPpsaYs8oBrzMy8S9+ShPumr
iKa8mt44HLByyY6jVqc/Hg+8EZR+uf9IB1lAcOtkJOysSC0sVrOquvpkzLPzfgb89fb+rVSFoSqD
0BeqIasokbdmXrZNy/bAru26ZEp9iif8vpRe21N230jpGIp6JDcTEKV1Spd0alhoasqE3Ch+ioux
PDQ2L7KknzUuICU+QPGvvjxexY3t74GAYIcAR7jHO4edNEAZoM4kc9MChmrDd6mGYVvlJDsgko2N
InmGGCiRY9zr7HSJ7jVE4ywYJ2VYAk9HrvcpJpjWB2FMsDuWtJqmlwGoqf0pilw93AtHG1mO7MYQ
lLlg7mEP3dwUalSpEHhUM/krVKjZ4yUdp581O8+F3zp28RmxLiq1SP+l9kdlriHaNGS8tt9bZvJB
7/DwvgwoMrwD44WxbD1GkennIfTa0+PvsrEZePTQmORGhBm8Lioljjn0aUY3rSYluxT6ZPuVmi3X
yjKWQ16Q34fJNOyQvTc/ESBNXpPUl+gy3J5lt65GNXSGLOid3PiheVX+Za7KkXe5GV/StsueC9aX
6021gsfT3SomkWFwirmOeTGvh6Z6NJeYQWaB7swxNt4FVGwfpsqSHnKk2MWRmybPERSp6vIwDJlm
YHPnGlC0B6F8fPxjts4EFAAJHSc5pFF5uwxdafB2dqwc9UlbuD7ve/17EplCWreo3bTzpTfiGCwZ
SDLUYmX6I3/Nb2U0XtlFXNVcQED/HGgOLUKM6Msd3z4n8l2qEZK+dqdDFJGvUDjsGSXXnFdAtIYf
q3N5irgXdya0dcxIRilom1DY7rJF3AczoXQ2DDYrzC5tUTjJwZhi59uUjbFBv6Avv7x1crBwwRGB
pyKZI7O5XUJEgSHte2kR6Dni7b5r4m6I9GLdWX61YAX/eLSNogSZMN1PCss24WxNTClNyoBKSBxx
BxdV8b5K0ZIuCyv7iqk4LxmzaF1x6CAI1q9eNcaRH4Ye8PG5sZT5YnMRz9SHoyE8laP9f5R9yXLc
urLtFzGCfTMlWVXqJau3JgzZkgiQ6AgCBMCvv6vO7J594+14Ew9sh1QNkchcuZqJHMold+KwiNQM
LWIolvz/+wuBYzGsmc5dB8Rt/z3dpSt8TQRsPi8hJ9cH2vjiCnYqiEWu0/neNGb/l99X4OP+3+MV
iOXYToKjA+nQP8I8wKdTwF3kdDnAOrhD26G7qUasg8i26uJfvovz/fvfvwvdBwBSgFGQefzX/Qzn
MOSlJYZdoqiEtSd2gyF7ebalbuEiET9LjO2/B7Yu8rRXmtouQK7hW2hUpxFa6UXN7WI4Ka/BSvdX
zI/NF0hM2sII1sfQMYzOjT2krqXrt8nhNv6X15/+8/VjIfIff03QRLFM/d+PbrXDA7daQKCiVaIf
BsBtf9yAvg5Sz3QvOz0U+TcGxwYqKN6gAs1VPj3xeebhphQMHskEehr6L03PP08wbGrwfIMYA+Dt
H17l+DwtkubOV3Ui1XNCo7LNXNMcNr4lL8r6t//3h/B//Lozco+Cix7rn57zNIqdYxtlUM5hHiFw
Lb+z0w5CU1MC1Mn36d9UM/+8XHF00RWDEFD/H1yZKUeJj+YC3B9q6KMj4GT7OA4Q7+c1okGDvYDd
+fQv/c8/6zw4zTBkRywRGlbs1P/3Nw01gISGbd4u1Rwvh71e2dlnuvqXi/R8xP75SGFliqEWXQ70
c/+9+So5HeJtZs3lOuqMHEuoWMY7Eari0CQhIi13CDfvHPHV78Q4uR5I4deqh23CFlpeR9sXQlhE
epalle/GF+O9Ghjhd8WyIktNJ3xbbqAqMWvnhA8Sa2ZNRlB60nE9DWGA2dkyGr89rE6wsqU7csY7
Pw8M6cM25hqO91XzqWMWvedLwR84btkRMF46vNfjSPa2ZGiretAOo58dzmahF/sm7xI+ms8QPOM3
ze793yLZtgnSiGITXTZD19HhrRDWwnEPnoEgjK2v5yNMWg9YtDgupiCh25sqzA9wKmPPseDzezWl
8j3x+6RPJGXrK6mBax8Suu97y7RzSAOywzx/wyKGyEsLbChq64YR16oCma5PbhAGASLQRs75ybkS
q5MmskF9jjQDRhjCUjxGsaz/UNcsxYGiD3enFMlsM2wUZqNv5gir0hsOudTY28Kz+dryKMTXII1n
2Z+NNTRqYa7k9r+oaDPcthaWgq6e7GLoaBPYLU/LCDee1ip5YGJYnngRDeMGtYhv4q/dL424iNLF
ZbdTJrGbRRSwj1OU5ioSTF8iUxvE1K+0JrbswMMSHv1uVnxhsyDKawzw4TSHfVk7e87KufBAnLYL
Vm/siwypfcfCGJ0KB53hxcaw4L7wDP+hBcvSiX4yIfUtHBYrBAeBc6+QhUfc0oFANP7UQmV5B73j
tLdWcPYhw+gg7uajw9JiqetHGBsnDIwwTt6WYlALJGaa/TZwdGVdWq/oyQMuuwYcNxD3Dggf4UsL
Nk+yt3xnoOowLRpwrqCY/xpG2K91SQKyB+j4Yxh78NQa1gPu9a9DIMkd2hjzGyQiIw5ErbM+bGx0
utXIurNtCbt/1tUNrH47XezrD8540W+gV/wKayNoS4MpbyJha1DtKiweuUzmpMMkMnfToErbbQ2h
v6JVw/a3gJ+ybat8sdfzVDOJsE2pX8dlZtdTkYlTJLj6E7KSN6d0DonqV+RmsK6BCfEvamQ5tZFI
N9/h8Z8nxCTC0aXVe1F9J1s2vO9IyruSk6f+AFUNssFEzDLWmxj3zA1ZlhTiklnlVwR4tWxj5dZr
S6cA5m41Dr+SPabvDa5QBlt1Oj7JeZie42LZP0g0rXtXUJKEbkqH8S+SkEjU0nRjtJuhshzbCDFk
oR/mStQXKjH+NUuX7KFRLLMtleP86ue9eGnG3LpuX0J5ZzmYpT2htfsr8yikrd0k8Etd15JAwWUz
SP9XNcHAu+I07oncgm0buW8R/t42h6m2ekDShJzuYdA6JnhntFqm3q6yWPosrDT8hWwPR3ltaEF6
if0fu4jMkt9wrMzu94E0PYdCHU4mCJ0MLWiH+d6ZDfLfXmK5x1sO776Os9U9Rlmp1z4Yl97nY8bw
RyF0z9Ve887vriAdb6x4p7NmP4jNzSAbFirBtxvGyuApFOJhCUi174pA7RsZ2Tp2ix/53iL/BAdk
097AGboQy5+5QOhVO6CY8X5FQu1wNKQsX8t4cj9rWbPXTNjZH0y5maJr1pI8FCoqxxP45BACBbHY
sSdMFxYULQCBPRr+JkGXMw5r68YoPeXrzMdjJrFEardx1bd+TuMZlY67lyFNAX6JHH1zK6sp+0tj
OpJD0DCMOs5zqAHtYPvyO9vFRPoaUBniWmEC97JGZLAdp2XxBnxPm8MUjVq20GXuPxH2vGcZm6/3
dk+i8IbgbaG7Zoz4hc4xVHdumROYTcCXde5LPDNNm0RKPEDjNr2DYAEO2LaazbdNE5uPcRwWhCcJ
GX8iL8K8MXAtYGGwpvMHK0K5HEbY+pVt4wx8HyuK39VNlJ41FlCbFe00UPXjKChEvS7KiR+2zVdV
t9Qxu08hB/iVQJXgO+MJMQhdI9krlNzAIGNqa/UymLg0YKRt4nM/E0xwHJNIH/ZRIDoxrZA0mCfc
xD2S3ozu6or4VwWVDlpTRNYWSHsSiKie4a0JPxSkGCTtrlMYZwK0hcdvKfa9OtSRq8DBqSLQF8BT
hYlqnqtwKeOhGE6rVGfFX5VTfCipB+LfFfOcRp1QacIPk4vSV8ADcoHZqwNBz0qZfa28aW6hPoLc
sArQuLQLl1Yg25KFX5nf1E0xk7Vq81GD3IQrcr4PqQ4vuZz3F8kWPKswCit/6gF93EHuaKdRO+b0
yk8zPF+ZHuvlmHvE1rWNsiaAVgk70DaaeM5usmXLL+loyecoURaQjkjI3IVpW17WPCPzcdogctkA
88srWPHsC9Y/+Xrp1Zp8InxwQjyGwk+wcHunKPM2Hg9CV+5HbXsGS20Ie4Am8xVlMF5lcwuRwzD2
wYbqlKRiXbpsKErRwfPTfBdiYEW7q5iQ4xRMxXHKxuYHIm6NCFlUk6jdJW7LjoMGSBDmShEFih00
/7G03Hb0FkQCi5YsD20CWoHpklGPrE2caO7JSGCaEofCd4Eh3KrNs2V635gl31KlbuuHitcBqHZU
/hqzWOL8F1EusHFiBRoMuJqCoISLdV7wPbe5Fev9Xqd27QJa5schghzuuKL2X9rSD03v+YDmWOEm
SoEVBluDTk3hfAupHm7dshz0W5rLdAcJZ5yfddgbdhASBNgWaVL1vYLfwNZXfsAzKVPj14sZarXv
TETiYY4EAnUKnnPXjXWt5s5Nzeb7MJ+rFrYY4ZcfJS0vpnSit7CqQnzFirg+8DkKvT3MSJAIpyAh
8j+iSsQPNRLhPZqCJByk5aq5wwg//UK8BWZfnS8V70URQHUL0ZkugfsmoCLvI1OHmMbMtGqMce0g
sY1UMMRhMb2JolHJ1mjJVOcgtsD9uHmFI4pq/y12Mz3ALg3Tf5ITZMYilWRPL3Yj/FeT2PG0lqJo
cF6Mf5ZlkNckZOY5jjmuQVjuY/8glnUZWpmiwnbIk+Cu5XmMyz+aZ9ik1BV4B6V25W9WTzhh8a6z
q2HitcE7APTZDhpFuUuYU8jPi8gm2zGV5S1mOerbCga2qs+nzMaHfZZp2nmyoC7qzBdFD5IOaEQM
7gwpjkhT34MEhGSOaiDD3EYuDAKPH4luVphS8FYt64Z/pFtzLxn2drhnKqQKD65x7rQZ7AyxP2No
vCakBnyrtLAUynw0saBTcgSVsjXFszIEO38h/9YPsEomyRPnanyJCtu8V2uMS35kqOl2QszTyREy
6KNGSiasico00UCoVSSRYuPLCA+8iLBCKYV835p4U0DuZnuB3FciLpin2TPXlmWYPxKatUqn4DQ2
VifiGC9RDkJ3AY5Gj60GzA9jJ4b7vD5HKpMcm2JwkQpYXWLCYgjrDClxR4JVjYEHWQQbaA95mW2j
spj/2FTs+kLkJHrkPIZJ0Qqi+ktyJoh0hYaBWjuVoI+3YEekF4JHHvs7OMAiesw7+9RQtcTdbOrt
Y42T8YYgSyZ0s87YcoE5OZk6SCpwk0QYdma0hzy/0/kgsBusSXLlQpS4Ewftbm1Z7ewzbFIKvOq4
YAj6CmX8MatpunLl4OZOVDAr7cyi/NsC0p5pSbKWDkHAmfcdsXozLWxgBoXEcTeTQ2LRiHeNwGTT
41FNRIdVkv5L5nyDW1FDq6nFLRPFt0kEIsg1hoOKtSls0zBKbSl/XCiVawvrn/QvZOcFWpBGwKy6
WhQ/uEngIcsR1OJaGH4sDyMojbKF88DwJ7OJed0V1773aD4EPqfzJKC557rfwmwAnNd+1u2ApSXY
N8tCn9Zpb+4hWMD9v5dBu+OKNilvp6UZ/5olGz6x9kx4V9RLvHXlkCv8WtgI30nskb50XqDDJnH5
yGEYqFsR6fluVDEWsEEU/hOBQnCGbxLooLtcqtX1AZ3Xn7xI9NvZYSw6OvQj79Ge2B+49vEZGlJb
n4s0D6ad0b18crbh7aVr2IAuQwdwN2Af445pxOhfjGj+hylGViwEGB7RnCs9Y5rYFtdOJEcRHnyB
F+xcAtMWhhmDr4CYhszcgtFQ5N0sFPuL8Cj9Nx8b3Bosh8Fbu5B1p72Zovw9t5jNutxX7h0DLQoZ
ChZ4kjXK88088px2IaEb6dHmqfPnw2EpYnYWPgpfLqpFfA9myyLdsw8IRdH5RHQzvp+Lhmnolzb5
TgfqvgrLQeWYOEanFuSU6B4de4Hx1S5sOG0LT1xrrfH4mlmx0AOC5leIF8CzNLgVffjNKUzoWlPp
OOpwwU9XA8JQUG30HP5EbqTXMvXr9EskoALJiJevBELx+ahcaCBGkKrJrmGATlVfr3w81YM2c4++
U4HAkoRNnfgGe4bW65CN6LMHKUA7SS0mZ56nONbcsy4eyjNgzEdc40hm0d8Iza3n1oWdYgYE9scO
50v7Y49yb9oS1KC5R40e7vyS0Z+yNPnUF2vEHrc0pqI/P9TXElkqaNyXMl466ApSRDpMFYC21YA9
59A9PtWhtLpbnfNxB0pIhOsvmu3XPOzQpDXRLosWQ66/EFOzJC1aK/0y1qH2XTXBgaKNtI4+GS6N
P4Mv5cecjTtcl1ljUfsLWWAiLtF1JblPapQ/FTXdxNT6FlhVUMTqeF0dce+HpymW9BM0meUX/Jf4
hy73pDr5LVlM18AMfmzXMijcGFxY2ZGdVyj/HHTglmPCwXA8k/zTWm3uMorf21Ikgnx5NXOGqXt3
A3wEpgxXDe7qoosX7x4Y/u2R0aiJTiVPwu+B8+Zx2MzU9EME4hVOwqJxM+cA8Nv/SIRaAlrD5TYN
O+kiZjPQweq9SHvnBH2Z0fueGl43H24vc9TxRkwF6h1s6lulhuYbnj/L3KIZ1PrQ6CFnR/gi1FOX
1QQFNQyOv6FrTG4c/NNtm6siQRp7lazrUcZL/emHKXzkLjVXRXL2qEN0a/hCucazUpsCv7DhVqBK
gjE4tgkggC8TivreVvuydzCPpX/QHzV5G+pIXEGUYSqgFBaMA+ABy3BJ1A4caV3i3Z2mxk2A7OMJ
t0e566rBQJvx04TJ3F9oZIxFEMUXUXIgK1tvwVsJoaOmphIX0wIISkQjvv1psZq1ayoYrrMsuPo6
Ui5+sUTbe0i+0QztOSc3aJoxrgXCRgGWxLohkHpLAdjRPcrQF4Lpx1qi4L9/4EU6/oqRG3Ih0lQ+
un1dI4RZIHamHZLay94NpFLtXm9OwCCirmlHSMDpsJBUAC7b0nCoc8L+7FvSfMSR0RNy95oEC9ll
b2y71SEdW1UDJO+sVdlzFm/yYzKNR8iprp0D+Lyq+BJzo3XoWJ2mHdLt4qQjAJbHtqhhuzrmCvNG
uS3kLo4atnTo6Eh0hDAR2w7oIIvHiZSJ6Flq4aWbAeAKbZ6UMDyZKi+/SrYhpm/cqh13fVOvr/Pk
h0fns2HosWRIv1e8m7u5SaEnrBJW//LUeLxGPp3VyGn1MYCSxdt5wlDWrgNA7TbXzfhpYOc4dlwu
CjfMSOrloDC1f6eZq0lvlJS4VsyW7W2hMshCJYjFd0PGcacuAGjWY3JW2F2ZfdnuIzZxAj6gaR5U
qS0KdBTvADYqnZk+AtoqDnshIzwM2Hgnbcz39EpaWeZ4wUP5Di8XqNlqtvFfUZ6QW8SD+BKInpdv
VbBr3sUl9c9uSkd8XmMoryIto+oK9OM6wWLJjh4mt2NVXiHH3P8oeLMh9gH8uR+VB8AyYx7DzpqD
joJ+xTD7pQpndRvMnN6gMwv2xM9Sv7ahwHg6L5S/12hjP0RTWvjUYBn/0iAujmAgXycJP0hbfyC3
jj1vyFbAVeFhkwoeZI1ZbN7l9tA0ciKYtGWaHHK+8xKSqip+wkIw0pfCYLZumyEt71gxZFcwGm7S
tt5G++HHgv9BB5f+ZDxgF0CQI4xwOpXByEcN1UzQse2JPg2CxtfQkCoNYvUgfV+7UX3SzIYaK7Rm
XGHi0JTrweyjft2AtaVo3sdZHdALAFqs7E5hGM3J8sPiJV6xAxr4302PKJ8MmG3du1pGOHm75w/r
nJAfMHQwY6eL3Z73ZPX3ISfuN56P7LFECN0fApRzbv0KdiisMYflg8Mv4nYc5Zie9nkbPwM6xrrT
U8AesKkwjLX7nMq30W3i9z4n8fsmEvWk4RX0HvFVlycH/uA99PrVJ6XjoGCLGOapX4DAiX6PEn8C
Lw2sQjSZ6fcOFvjvFSZG70x47jtYHWFwRaeafvEAnL+Hk1SJZ87ikNg6m2GcFyfzc5kPsM+b0wGk
khz3f9w2sGZu2sBZo7si9t6fGg2EBW2LNK9YXKe/pqqRT7Yg8jpZaDVfGB7HpJ/hDZJ3DpeJbw3J
YqSgpMhJbIPLx+chWsKIPVw6vbmGRCib3iHCQUpdfIuoCoBTsfJ536mF4yZhVOWAtudYHbDzcVeq
dL4C66Eyr8mYkgVFbcyqk4CFdN3iuQTlGe8OVgPBxjcoRChvdJADNq8q2X5AJURViQNBfiSWSzI6
4vM6b/vwmD8HVXnMCwZTzmWmvCvaILFHbFUz+7pF67F9LFANiBaylxpY3IRetmXYCoh2UTRHsIlB
hWk5CNgUKxOLBysbU/a9AmAAnp3EIGPqNRPHHNzCpMsNQtf7QDTkuJCJoDQuEcNIvCu4qrQFgMLQ
S6CnI6gkjD3YeUFkNXG8lLhzZdN047ToK5fC3g0vcdqmniPA/JYtvCk7hDXFr4PX5c+K9cWTGDf0
GGbG82nB9NXACQuZozytUYO8PibeUgOz8tbTir5sNtuyFwS55I8LqGRKHGuFpfcbdtbrt13SCDV+
rS2SUU8r7rrihDwAdTunjcU8s3B9k1DwOS5gwLfxQ9jk8GFROy7RGXp+nBQ4FB0rjfzK6TDBN31g
tYZ/awnoGVF3DUZnudmXZXUEKCtqNjltlbG3jTHQgiMFfvshiztPbBgQfxVhVg+BJpWA04HOHJr/
id86laQP8+Zjelgg0KJtLdfwM/Eyu5akCs+FSuY3jqe0gNPx4h6Cz/SnnJbyVWDRDgSNlhg3RTbZ
Fwa6tbypkJujMRExh7FySdE8bzyZAAltW4FZAoWULncK6KpOLpiss20GCFOEIgO0HwdpYrCZqpSX
AAv0Oh6wFRAVupwpoHOPQQyeD0QnA2auJKNXCvl/+GuBGLU2qn0S9xr19WWK5uyhBnKKdgNUnG8H
N9A3O6/Ru8ZrSVoBD/+AvdCaQJ6Iaf2rMlmO9QpG5KwD42C6MsC0VE9WdcYBUWXuYCzLJFRYqVsO
04CXg62GL68gjRD5MSYQCH2xBGrlNsfy28B1btjQyTRoKOHIhYkexQE0NAMPt6Gkw13h89h3W+DN
k3CLXy5SWPWG08bh8noGF2J1kToMcYci5X47sEyMbyICTxbwhQakgxhFUnYxbF+nngSym+u4HKfh
4LO9anohytq0dFWV6yWoGDXaEiMeodgIExbzYQEVu3L4IOZGuycAEXLtpobF9ReJWYGtYE10fLXa
ZC/aCrcn6VaVoT0z9cBmHCa06ScshhCGsFoMDkupFt4vnC8B+CmkG4csETEGQDrGcONqAggeR8TF
+uQBaTgbqJu4497SMNQA/0VxdnVUecbjQ8kn/7pV1jS9yyoDBXOJVVabg3yx3+PrW9LOlNi49War
1TUubf6+aZddNBNb/s64wcjFBmbufKxd4NOxXJbmnm8rn3scFkAIU1otBGNGOTcHmUAt2lJboEGk
ANjV8Xw9Jpejo7K6nTAo/B1YjvC6Zct+S0OC7CeWCNF6uLPIrmHQqsB1bk9+CpGjs2kBh5nylFQq
NQ+hoHZ/B+jh19sdEHh5yNHGkHZgbvyGim8MpwSrO37NEXmEkcCSir9KeJCmx2SBFUYPUDBfLkEt
nsbjVmki7/KgBt+Obq/EpQOcrjGJ5kgKx7lAEww0moYrnuVr8o6yhYmmUVAh0JY6bcuWUdzBdz5m
tHiIGhifZG3UBG8OEI+yZ3RVQ3kZey71vUzPBLG5LkLa81juX5ICCvy0Z/HmyeBBMzjyMRZ3hMbJ
IUPJmw50hN6v2wwi01F1BU+OSz1azKZ4frBKTRxM3Cisgw3+pxzyK7hRlea6OTfdL8gNqf3fiUV2
xQlG8WlnjI/4vFa6+jt4r1qUNhlPGl69LMtuK+9LeoVpl88d5BETgHTnCJxDB9z45V9ZFqo5Acrn
Y8fqFfsRUozNdsBuonkloYnABVz29G8W8tU/sqFc7UG6eW6QkbyhRV0XbHI7nkianpwKi7uFwWyU
nKKJYqkXIU1FHlHnlh+fRTpGLvQA2waDXeiR7Yn7UuMEHGQegndoXprkZ8MP324AwS3zMQOIaV4q
ghp0CrvA8IjPJ7mXMdRnnYJCAR0ubHiyLoG9iLlJI0EvrNoQsAe7HnuTIFVRf+FiqV2HzZNIHqJh
qbOO1KqJHnI0cApmDbvd7prB1VhR4vy7X4m02t0Cq67y9wSGINVh9WuOTYsMqbuaQu3MLc5AYjpM
mQo+nQYHos8lVPLttq1F/DfBnlv3NQU0f5k5xtQlYF24C4B/j0vEQI+wom7hsrjQhVGkL0rq1lNq
QSdqoVwJ6TMDPLS2fHYxwJ0YUHq3BOnFrahW3AUMc+zaOy1AUPfwruEtgxM0a0GUiK/jZJsAOtFM
hy5VeWMwGsEg9aoB8Pa1q4AdM7jpqzlgcB2y47gMcAIcUS+2G9EseI6w4t59b9D6yKfpLJ7AXUVh
i+Ott1EvESk942XaYWoO4ASUvhuk2T7Sed/yroEwem/xwJnyYmTVZI7rvJeYIhrk1R9SsQnT6RzZ
tf2KhMJwGOAwl/bE5Et4m2uexlhW5rZ8LlaVVFcNdqsYEuFr2GWRwAtH8p150YsfoHBBTLXsNohM
fbci23nvKds2hN+aYIy/Ovt6h97vOZ0OUNWkeFvlDj0NibSTd40TxSN+OC5IiTf3uhq3Jv1ubAN7
C+z1vzBJrXcwQRrDBZZ85C0fztcRksXr+CYmPnZH1Th0FoVDv4mNXYQ2j5QjV1fTaHAvziTayx4M
kB3bb1NlKnSAUZfsChlG+VOO8Rbsu8nA4K4FWDkLjA2D3V9liBfeInixHrBeENj8ysYOwzHe4ly9
YBGx4ovZJj5eA8gAC2ClxgBjxn6rPDBPQEQE72zFKntkyfYKGJ6Mx90PcBuFUqJceoXsH/C8i9r4
O2Gr6LYAvaK+BJxQqjZSMU2uC2AfL3YbCoClBIQw7FDXCBVMNwLQXD7nSEiqwDzsWMhgjb+mXAGh
S/hAjqYaS95OFNPkldoLeAIjFTB5BDKLEYMzDW890wggqVwP6wfJE7n30u106Hi5qxVReTKn/STA
3/mtOEfnm2E9NbVVxgS70JKu8X0zQ0N55Buv49sYfneo4BsgA+w0sSdB1wNpQFYc0ELA1IcNrjQn
PIw7Ytj1CmkPmRhA3gTM3+guG0A//1WcHTneZkMIwTJ4w7b2oKYBc28O5nXxpEoab73dYDD8NZmh
XrAsQB1l6M+B3wCcjfGgLzGGsFOuAVne7Wky0T4C8TU7mMI15kKM+WqPDfiB5Mlqr9FOQBUnjj6C
k7hiW5AXDmnMzxx+1NcaEde6T6nZsVUEz6PPSFKImyqbpLrELcfBNPQUEAk1KxaFmmYb0uszyt+B
dw1lR5d6IIiFKewP301JYRDAbH6pRg1Tpg1SkC+lkvXeYfn1Dm27/w9uEmMRYEzIjoCKoxQxQ4AH
nhHcVgdEt+XV0qdqigZ4CaEl9jBBxtIL7ILsKASsA5/hXQPKeoUswu/Jrn6/EiiC7hA5WoMFgpIH
H3yFtY3DcUsfwb+QMu74DPj7WzLHphMUpzPvNPbYVZ+KqtyOS441PWRlPrKLbKt9mhH/Hcfbpm5H
2IpvsCsGRHMDzivdjuUklw+jwY0CRmUpkMUmFrDPgLXngIo4Io59TXcI9Nm26zdME3y710VDbqAq
1uOJ6LBlRwmQGCjBNmNvuzZ7IkCzEdmAALt5RvK4MzXYPaUGKLgucV61BVRpvPVR5m4pdvbNiToU
ky5ZsTLsCu7TgHAtjWnORiu1RzEv6mRAthq7DEFV5CbF0oz3g4Vi+KKGQRZYuEHMoUfUslWdTEOy
92YspO2wY8CNjWueZthr5zbqQlGNtx5xQzBSF64GstfM5M6AwgkmEbEF3hhN9kNJE5OdQiP070no
8W6DahlcGIrXncAQmB93zFGvhCzlXcDrFl0z1BbT90jlm/Ms/YQJwvyYF0x9jEPCwbzY9nx/ODNv
6tsk2wC6gru0wsQGoLdCnF8t99bBQfaDzoUibWZqtgICiRBNN65ls592H4nvhOJgH5kfjDgiB7Eo
TjiMpj6kpNrYEc4RIEkZGYI6pVE5+1MJRsHarXSsiiMEQevwvFkMy73O8/OFIEz8hh+W6BuDhjX5
ROZsU5ykjJK0l8Tt5Kjqcm2OYUKYyaMdNvqSTzmOLpV6+D3XzQoEw+fZB9Y94HFNsA17MgGA4cGP
rvjQIyQk7YIBD7tiNC048ihMryswN9INRC8/DrG/vKfYDd0BEZxBqylN9QBrAA1yQ11s0xHbdY+T
lJIhbuNMUvCNpI0FzALHEsg4j8ULkb55mUKpfsAaztltHmIK8jKH8iHdJONdJQkwtiKmCpq2Ba/s
yRSLJBegbiHb0G9Arp9tdV5aoNO2v0q3hD8JuDj8fyg7s91Ika1t39CHBBFAwGlmkpNnl6vKrhPk
mphnggCu/n+yD351ua2ytra0T1rdOCGGtd71DphNBvSsgdV0PxnQ5dk1oYhc+LHvD+6VXMZheDbw
JdU+JpfLPfQp58tZWEC8h2QdpN51g5zgzAhTIUGNaWxyIKX5pDM1fsKalyVqWX77rULL9t3AvH6w
Qpyct3WCyQw7kjTpYz5jF7BLu4mUkXaNbffCzpKklsKJrQ9xO02P6zhV9NN9iynMyIQ+3IlgYXaU
WOUIXJdmZAW0Le0tZA6zDEeITNrsrKmz75EYgZY1adfjK0q/m+4r2sFfzRTMDKcWxTC6T1h6P4p6
7pONFPMqQDGnuTtB+uMlUEi0m4GIkGov09FJd/48ui/0F1AGANGW6otuRsMNrifuJIJomWpv0IY0
+CO3YkgjDQib3xRNnn1JTVEWu64JHTsqlO6bZ9XFtc9Hk0xRJCm549F2RtfgLFTZ38fYQNyBjO+t
UKrM9H0YrRU3hS7T4xGmEJEJyvNIUw8MaTw7JQrvzqYeNj9LcojdjZaM57bGHlAQl7WVNjC8ej/b
p26Ot2yI5x7ufLJtvxiB0/W+Nz0JupxJhYz4/5K5CS1czVzHYT0PXTUa9KjZ+uykeVwfcPjF+wza
njtGMQsV2Bem/ee8TGx10/lxAlchGZ0kmtMRDN0OLf+8WLoFLEpVVzLD6S8VKqaY3pYoOAgjCcJz
wNXEjmEkMYCpT3VJJMxuqoNk3sF9S1NoJi0w1tQmI+m5bQA66DTK+rLUFZ0Ur+vFtgKCdXWLjIzJ
PuPf3TyljIngWtqQIDihCfpM+Mq7VZeqP2YM11/XIQM+U2DHE3VcUlBoZGn3NE1ZOJ3mdHZ++UPq
x1EP/v2QrwMkI67KFGVFq/zLeLLSEbJsH0nJnLo75oneUwedxo+QNMS/8CKEm3Mx0blffVHlhzCu
bHXm+JyKHeW2FFwRbUdH7K02HCL6+XSfUDYGB48P/9vmfXXUt6PKDiVE5fJ16HHK31ByMJPeZKoW
R8YCyRllvKVPiErD4sKDWdutX8309wIIsntsfND0jagDQL4hD5z5inMzN1svbIMouGjHNiMTBefo
YdxaHWiMUtR+SZGWZ5jLxQwp0xsQpiuQtj0rvC5uHAimFTsQlCNCsB+f637pb9KRz79ffW1/Yng2
PYaBDL+JWjD1TgduRxt82mbxQFS0f2d9aBWbkcFmumMQ5Mh9Ec4MN0DhSxhhM0C47rL+URnXNjtS
c2Yknbpug80Icc5AXB6MiEDdC4Z+Tibgj4PRZ1cFmSY9cjlnTBjkg2s9q1o21nUmKQR2YccYeOva
BXZ1IhXW+gBnA+Rt7OLQ35nS9m5KOGDp49LgbZSTY10NegsrJbspx9mp7+RqeoZ8w5KGB2ll2cVJ
f3AebXSYmPNZmZgfurBJEA/b7fhrbsbcXM1gwM0dJcly8TQIYurh2m7sA6NXyhHXHztxDzLVjJFF
J91yugb512YwhbuRsfD6pxX8l3KqSMCGKcJn66vTddZ0vZQO07kVcYl3C/xVTnvSBDz3s9WUq9xB
65qBjv1MBpcuxaDdgLSU7gYK22xTmHy0eE1teJ/ToAFfMxi1jxCawxcJ+zvfj9pl3YRhOUNllHL5
oadw4Q4sOkbPCUwaFlU8Jr+ttg+nR6jjDF5dxqr9vZsGCyxSwCJzv0o9fYNQW/RQWmHubbpp9auD
O0KGipIxtAZcnZdh2Dazmu5XnYuJQjZuXkYKoQT9SWO9LK1FsVh6AlVTKKvJPAXoQMYfPqAwVHLX
jIhjmrWdP60Eh9j3I4ARlAmhXbc7ZmbigkpgxD0ItbguOIgXfq2d0n7twl59kTD19aXP616qpMzD
TyLOIY+LtcrDa2O3SXk/r/KCWAVZ0B0EtFs4vpLbatsKhr0PawaydN33XRdeO61ivuCOU/HJQ2fq
31qjFvmBCigWkSgYpJBUFE4WOJcV93S2fpLN17kHHhUZ7U8/Qq7aaTukbctRPTR2TRBsR6sfO84A
9o//210OJ7Ha+FmroV/UdML3CwBSs8Prq443VBoV2a3tWk4baLE97phE0oHdzxc3A/quiaqlXck9
7inGLgl1azxuVb80QGGN0HKb8N6xrtKdaagu/KDd2hy4lxIW3eCuWZh9A+zDoTzHbMFwu2RgmNui
q4KG+qXt6i02yPyFQdja/e91zqVIL/xovUR9KDyxdYDFX7LClGaDBlSKSKtUuTdD3/Ad3QHz5ht8
LaBQt6Foh6cSjHbdL2SUXFZjCCiHMiMvt6s/1OXehaqyQMWku8lx8oATxX3NJTj53rPTAjRtqXSd
6lBYQ9tfmanInpy+rYbtNOSLtdMzLF0mshLOsgt+fbeSwGHtCTuvZFS3SdKejdPl6ZUbtBOVqpzg
aPJqqD/rzCy3NaYJWHx1ZYO76pw3OU3nUA+U3uFyRg+Sl88ontURx1D92MkU+tDcte2r8VT5m1lk
8EQ6DZC4FjH0ewJQb4TtFXclyud7UzdjH81MKmB46kU8lhTCzLwZdz+6E5cQM00skKiNTD9u41JA
f7b1MO1NPcjwGpjSUTsdpMM3dkPHVQoEwGjcMaQ6NFShL1UwTYgllh463JJ4we9kDkUS5dlQzFuI
cUN7DNNO/q4s6K2RX0KqoJEkcw/r3C5vfebRxfxdIwH4Og/cEZeZtj/s3bUr7Dtn4ZzfMsYQ/Ulm
Ol4PBZT1F1hSiCDEUgVPDsnH/V0LSW8EslKOAWcJ4uZOBwuH9BBM2NhNc+C9plmRqwNQB9OyJhmy
s1RLiKgBB/vyyKU+Qj1ViR0pT/VVBKcV8tyABvNqpbJcYNphMHiunNB5aMahOcZ1A6FJdDE/aslM
TCHT2O45UBWnrOyb4WWqLGHvVZpzvtO3c8jyR9IkFVnpd68OF8rnOfWHfptijyMj20tlcKwyCvwI
NZTbUuXUHt5QcdIodC8tzLLcN9WPuQz012WxOn22lG1OxZhM7mMwrsHiMljO1p92a5D1uLVgFGDw
EnvpYed7VysH1w6CeV6jym27cL9qj/4L7HZOq71jzU6GhMHo+9Sy6p84ftAPL7bdf2uyMm/2ULXg
K+fTBLTf1G3jUZ/X9lei04b0CR2O+UyHgqZuDpZwt6zcm7AmpI26puceXijVvxN1aOad1WgOMgKy
oWfZMoD+XNFi3uZwLj9jKsC4ze3S7oeCqzZugiJsr5RsSNEOYg2YM6xFdgX0wfrB8XYetkEqvG8E
h+dflizI1GZgYJJu+gWaB9rrbJ02bplm8LAuw8PrgOyZOXLigbpSjQ5McUTXUDmMtAQIyrDg/jXi
pPHkrlXC3AKexA+lUTuf1GRWdNT26vd7JSCKb2N7lt1BUqbFl7l+mG0nBhlRZ6VUXzjYNz8yNmJ6
Hmtka4CJQpQ7y0gOWG01bs/FTEl7XVWMNGDyd3BLYBRCoK8FDUFUDoE1RG2YzLc4Jxn/+8qbxGeF
itG+apVboZLKtZj2aRZqGflGLsWxVLPb8b48zohyLUcUP1M6ZzvaGvzrNzOF5EDmCbMQQPq2+Yb3
FqIvPoXMdsxGL4Sj1g6/2y3Mqw3M8TK7Xe2h7CLLD+B2UZG4Li/XrTmb626K9b5HLDMcAwvQnVHu
Cmu2Hx0w5gHu67AjUaQJYdwsUHwzym+EewkxYhGO3gJqSzreFsq0N0qNQ7JT6Zioa18uznc5413M
ZHUy7gFgaV4OQxaa9rUY1CC22QRH/nxhi7U7YjHAQID4gmnnWwkqL0qLIDgOjsnzm7Vzmh80x8sj
51mRHVDSZDfW4Ov2YOYk864giYdP2FNlP+pRL5icwXJ2oQXXPfFfTZ2ltJRYeG8qNXE1w6qqM7oS
aKdbxAbIkRjfJoBMDW3iHsc04vy6THI1Q8TzVkK1p9G9R1jlZPtYjPk1NszrGA2UusXtQIexr7XE
dyu0up7TkgjE34T4uPkZ4uH0HLpxduvSacw76Ijjr8S31XMrkV3dBqHpm+Pa2+ODKmdZvNggEOvn
NZlMdQzGJRlZo6hIdrXqppASoVDDKU8UdwuHn/N5dnC93ZZuySlHsc+xyw2o8RWlaxpwo3Vq92AZ
7Vo7tAr1IwB29ruxJutHC42Pvk4zTYQ6qKtXq6qpEJVDdsGRmZGfRV5aFpRP+ZxGJKteRl6BzCAo
Uc1e9yAK9a6zoemibZeFGxWOsjxQ+1V9r+eU4Z0zoRSieumKdTfXqEyjUmXwCSds2OTRt2CQHHK9
ihelYVTtHIjZ5cH2VfzdN/ypvY41jkfM4+5QjUC10jO0mIsbDlyesaqX8eSBfe8Lf5k7GA+spQpB
XN1/TfPJEox5Lg6EvfTMfOjAPjsOhSp4RUMsH6BXiO+c6pN/4VIVyR6wsUs/OamtW7j93NHjQ1qY
hgkOLNM4yqt5MVw/XlYcHZEI6mx/obmE5l43Owt4/LnpUlcf5EKrxUwraaqbVBCigrYvbvS9nXrt
sJu6ZboupqKGbwo5ktZJMgm8QXjR2NBis5XhfyVbkiXdMdPz0XKAtzcgrM5RtKVvw/OaUfcg2hjy
HYZA9ZWX1517R+ZE2u996wLDDFOY3fMH1d/gGfN+NitzMuq1xUmBFEhabj/JeGbooddphOaLpT2q
GNMswzlXTVhFoQ1DrUBvBxcfs/LgwBlnT0crhcAKOSIcOB0By58gqC/Uz14nkpuk1/V4a8J11egg
1Qp7wUYOwehiRPMyaKT2BzD9WD3yR9Xgt0h34q2Jbfk5bhjsblsno91VaRrGkPFqDuMwhTK42BrZ
+QR94DoWlqf2NaKHq6Jg0T8oG+ekI306BH16LEh0fudY8XNZzBo8tG7Mbw8iwnqi7erng8WYV56h
y1No+nUh91DdSxZSnhU3unEM7FQ48k+op2B/sU6b8pHiM/wB5bFAN6wS3W2RdAk6VgxC0ye/S5NX
eEZq2bdYeXp0EmTzodhyldh31T9tJ055kn0H5v5DmLY3G/i0+Q0YUZ+dSXqoJvy4iuH3LFJQbsAg
eP8dpoEsoK7ma2cU7uve9nS7nhu2crIr3Sy7z5IqR6Gh2MpfuJ1rtAAwA5KbFLZ0cIZYnsmdLpCj
QpZkjLuLl7G7qkqZx1sQvOBrh+lUcUA7SCWjqyJvT6p3ivTsiKwhXZNgCAQ6jJhwzyT6HGw2Zu69
7Ut3aL+apmCXCZFjaoldGjEIXm2PYwTaHZR3EHVx2/fnBXXKItrkjui4hlt3KueIIYAbR1VugLhb
SwafyVVvYKR0i4lv2GRQLC7N3Cc7cR19LNeAyiVWAUeE7yFU8hH7BrvBGbj6Q9k2/rWeFbIDBQzA
4esYdWMKf33Oeg++3AAoH24rGTN1Cwubnkbk03Jf8RzeCkqFjA3c0okUQtXZ1oY+4EWS5A0TVRJd
YFQ7LghFk4DrbXQP02rrJ8ItDtBximAvsqByD7PFsBRPrro/2EEGvbYbFpkdXT/O3P2UpfLCH/Py
u3E0cQPHrfDbu7Xqs/qB/dv4p9ixzHxCSAFcXLr6LlUoabdNm04QRnmJ1OLYVwm7dfQNDkFzcA7b
vr5NFgTtp3DBdQT6S7HSQ2RLAPslzn+vKF37E+NN2icgqTCz7yvLC9oNFmuFy2rL13JXjanX7HrG
qN+HilF+pAar6bedAkOixFqThwFdwPzajZIZWUbFVkQx5BD/0E5Mu47t1CsqR+IRfkuuSDQeinym
ne2LvD5M2p3M/eg0hY+4r1y+KIOPP4/wqwDBguyvgmZO7IM9wnvd6DVhPIHlAwd7naBXBIfquHmq
AirMZi58hz80zpl7AM6V0JVty/8Zpirpt4mY02wb9EvnRBWW1qc55PjcwrbE5tRbhd9zf8398HmY
ktVnTkW6UkPRRGndJ3r5PBRx8JAw4nEoHaD072x3JNPbgZgE37lJkT3X2Dej6ii9wWy8WHWvjEIY
24d1KOlh3RSqIS8nA7OgLiyOkMmdIhJSrUA1vnYzpmCIiiPscxK1d3rA/9MClQbQqoZ+SglW2ANg
IPS6XadMZm3zYuBui3F+dE/zCqH86M1V8JOZA2Is4KA8ieTczTJam2r5zC5mnIgYc9kEztI4B1nj
RYuhwuQ+dfAPm+smNMt4Tjpv+sIGvyT0TTqJqrBpfspRLr+h62YoyDprgRMWUDz7GsYnl0aA/qnN
wdvtsBmZeCOqCw/WPKz9dk7ieI16KemfWO73DRyp3wzRwx0cwIsWCWS6f16Xac3543xqYUO7gbRk
Sro7hlQd5eEM5+VE5W4C6vK+DzZNvHLqyRCLhy3Sm7qJCPHw4L90nEa7OcUWfkNRu3ydQm/8JDtn
eJkrtRxLbIqycwdOfaVwSruIWA3im5IgFXi8Cv9/MK04v+7gwD2LtA9qSsvGaaFhc3Cz5FU3R3ha
xSCaxK2oY2CsoNgtMkUaFBqcN9IAssOhheiHpYPVBTASgqS+Jyise8HuNn3MlsJ6cXTNYKdS3CbX
eGOVMgKonLwtxPfgWuUzQhISd1yIUDahfrJQECSqWJjjZQjKaA/SPbg6DLubwZ3b7zbxxybSs4sR
AYYKaMZV0CT+YSa/IwQRhHL0OC5+SIPH3bOhWQq/DHDxMnQzsfaxGYq9Jw82c86IRsxPqlq7r75b
EDslnSZ9HTn15qgEf/7eWTC+NpCMk/mAK739ypLAOZQ2xaYvUma+w2DCvTjmrZ5LjkhfFNEQ6mG4
J+elh1QtV+eH36013QhzuHrXKNy0d8mq2k8Z7j8y6lqd3GdYSP3kMlf+ztLlImikHQmzti7L7zWT
uhkKeqfoa1bjwrKTBSOtfmqgE62SYn5t0azCjQ0K76gEzdk2hXcPeCTwYN74Pf4UW+GkTDTcOQnx
qMiwMxoZ0OhDkTRTzDVv/OfAdgz6Fll5d4lK6IWcPJTPU6yEOOhGzQ95VibllQ9x5bevpux5sFr2
csXe+gciXfUOx7tKbbFGSr+opsmnY5et6DVUosKjFUphbtGHkfM1hbOGTykyuZwDH9YpxeMEGtIU
ZJhuinH2XxYzQxOYdTjGh4Kx9JWDaC/bt6Sn2JRGwwU2RhDpHlZrXa51Nxp9Ekjwwp1f0LSiODSh
umJKOlRswo6/wtINQDQ6zbxgBoqnxM5zxry9rZMYiwtWr/254LSoD1C2yHqyZLEMj4Wv8/tiWNYf
DmqH0+ygqrzMyQmkH6emS0iNX7wVcVIAYB3Gfii2bksVcKr9zrWholh4zrlZWiQHD28GhvKe2yS7
2aW+PIDIp863eZjNU+NO1rBH1OjfrGNS9QcfS4iXTNNZAK+21SOEztpsjMeLYxngVLDlxsRtw8T+
+tiU2ls2AAkL7N3ewoctcXzYLNpaaHno9pfkmIBRRsKemfDnWeW4FC5T93MUAU3CCLVg3IzGn126
nTV+qHQlrb1EQPDDLkvpn1wj5C+9tl4FtOLb9/FaVFDum0A/XyKkIYsg/KdUcOvQO68QLYl6xzXk
rsa7CiozwyR9XtrJW/eIzev7AACcWwMH0leDgB7QPPCG19CvUuukgdc+degT8g2S6Ox2hEWcMwNq
3XsHKJxVtkhmAWJpsvgG/WGGzrPow7vBKcv5gC6TEF5xmcjAoOk+Wc4IMGXXIkwjbyw7to/Vj/ou
NMmcRIspiRIbcH5vjhxPVFxh5RDoy3IsiQ6ag6JkPSm8RLIa7kiaMB3jJBoDeWiF68Hf+Qchqi7K
ULANrqntgr77ymvmiRVXwWKicEqZxODhoqEGOsysvhd9Gt7lXG+4w3CRfPORd/XnLI0TEVmzAn8A
kDAyUniMZDukt+pRxKsD5V22aUVcRa/ux7TjlB80RZ5VdahjscSBtwdwwUBuwzwhkbu1iFvwNdGq
vc1cCo5TnUpvq5m9gD/advNIkUYhZxrbQeo2cEwdVk8ud6XDGbqZFsZoxsuzSwndgzevk5+DjDVZ
us1meMCbKSZM6Uq2djlc5CiUkt/paZTCEcQTd7xn7hLPs0kMQ0+/PLj4cX2Nm27AfCGV8PDXjBNk
j2vX2J9tOpjHxKgCGb7XZlCEEFRNmyaHjn4D7AAQljSD+yUOivh+TNb4xmZSE1+5jb+qLZ4blonC
0DjVZl0cf7lqExf/tHm0q9+kD7YvVqrjLwvk0fVU4Mj1m+FHRqBZDQViA6o44QrepWBjThxW19hD
c+hKd0q/42eUqgOmcoQlLku5+LQ/2CKcLNV2d3HaOSDwPo1X5PWM+vgMaY2OyfNjeVQWJHr0+P4K
m7HvemYQTeDs3LrqtgVhg96RsRijCtgxebxzVxVAXoPpTPZGUer6Ec2Dvl9yPT3Iqhk4piG0D7Dx
0/lr7176E/Qj0xkvBmhjQVEpc8UZF9ufWI0IKfxF1hOUNc9zoiQGLEEICn9tQ2N6Md63R3MVBzNc
Sc/ycMtkeFdt/SBx7GRTELH0q2PCfqGsoTTeANpPL9oJYIDTp/SP6dhC2ccN56qBJeVF8cIIDt+m
BD1aLJPsZ9JpZ95BGcf65eKZITYrlI9474G7jBgGyPCrF4v0C1btzadiztg4mVuPx8VvbJsxTOpe
IdBJxCZn0WD9T72TR14hcZVYMjs8NGEur5nKjjVp3MDcd7Uu4eQAVHtPYxhMw6bVsmcjQP+JgRMS
bkyX8nG4XeOsCzcJZlXednDqi4o7oa6JrMTJn/0h79Z9x6BF3/Onzo89lxPG/FYXgqD6nhyjFbkB
fEruLp/X5THhrNx1+ILlE9OfsgzaH0M4qX7jJH7AVVFqlBuQOOCMuP0IEzC5hCNscxlX2aG3Z5g+
mOIQ3QEaJIdbsYbZE1C/792yEEs8Q4Wv48jpPO40wH9G54mGbQ1o6XVJZBcGRxj+1amLsD/GtyBX
K1Z46Bkx+efdorkCPgJ4xdpB5bt+MmO+H7C0TWmw0ulWiMm+mAgE6c26Siv4lMTu8lRdNiPwRE6X
2zah/2TDAMHewGuLq6QPSonDTjg8Tww950OFxv624kIgTq0mFjZh7NRwNWjzbcQa+heOCe61a1Uu
1kYqiINt4kKiPqNks3Fwbpv5hDuRd+57Ihc3CFtgRaxUVqxX+nzvmwMg+tWBoUnZBOcIQBP5pvrk
i1K20dRPPk43XMjbAZHRCSOKqTvwz9JiM5gZ8U0p/NbeSZRF1T5w9fKtVAZke53SMNkJOuDqG6Bs
ECHxvUA6sqdupr2z5BFCoT5PcgJHsoLOoy5RXvjK9EyUiPCd9HI/4A6NXqI08gknNvvTPIjyh8U6
eRmqublJ3WS5yEZiTlAvXuofCPXti0LZAS4LMbH7lVYWYXbMX/x5s3B/XYWs9OWqdKvy3irywtuu
8ILzjaegGjzjjJGgdiOHGHUa9szg9iudIvcMw+bdOLfmcc7zdXxsGNehmwr78UsFJgk1FCP6ZxgW
JjhAH5MdLKCak5JQSOVtuo7G82jsxhq+MRi3660wWddeg2s054b6aj300GJElNqJhaQBChcmPdWc
PlCHiG9OElN91iu0ETjbIxy41c67ETsdkh82HXOlBlhZtvlhXcMFRVldUjy3vh2y5tLapUzmAJz3
FS0cp0AzOO0dNNfiFjFNn1+btvSgAtkVpKsikTVs4dxNIg8suaWEnC5z0A4Xxgdc0JCue04W1CdY
Mr7cwsuKX3HgSvL7Vnt9vicKQ9RRL0IDKTMQ3S0Bzl23cTKbvxqhjRBnEUD/hqUdlIfSqcr0DEDa
ULcRTzTByhoW+3kMWusn3XjN2zWNelj8yoV6ueS9v8E2UmefOqhfe5nMi45KMdPxr2IaIMDKuNnD
qsvvHZyOsIpqmna9zbpOEjuL1IYAONi3SXX7fzADfWvMRnPygyk9Y8/ZqptJZHG4WdUyO7v/E7Hs
XUix1WmNJ5KynKpuayx33LqMDK7A8x4Wut3wn1ohJTR5uxzbfqlVVGpurEXz4RBOFOYDd893jER9
ChzsNXF3pUe5/PN/WeMy/FwY9LT6hGG0vXW8RsILgb8r6DM/Moe+GG2+MRLFJASM1ceKkv+9MRLN
L26hKHr0SWOTsIsxPYoyXwS3C+YwWxAi9c2KV/qJkDqQmTbcs4ZqHCFgLj9w33zPKFJJouMZCyli
md5YglosaeAyW58GtY57jR8mNtnZdPi76eY7Hpi+whwuEPKS6iDf2FFaCTDuQhty0nH/iQ+YfJUw
zC+zResEfkAT1ZUIsv/+UOfdt4wBvgOfmfCgt5kmNRJIEwM6nsw0OffQGIKDKxxr6zKQ2VN14VwE
vyaqBn/dtaboNoSbhtvWNB+F8r63tLDt+v9/yMWT9F9LC7elXvU+L3mqKtz3oFkFgZNdIRedrv/+
m9/9nNA1CIS6GLv/x+HVn/1Sub0++cyPDzKQ3q2PbdwHntXvPkW5irclJcS2N59zgp+iHRiiJ0E6
K+iU6x0b03vR33/Lu4vmX09544wtx8SHhTXrU4so+kRCRRIFTIe+4sRVn/MeIiU13/TBfnjnUxH5
YxNi6tiKXOE3P40A+RCg0dUnhR9i5LXLeKsLE2Pehuzv77/vnbcIFxRWjQ9dCbf6NwboGrMl+CC5
PhFUJ9DPjn6whyrJ8Px/fY5gNdiS9BsHK9q3h01ac5xDYmH15YO8bVYBVXSdkw/WxH99dXkKZaR0
FRrJ/zjOYtYIL9xj5cXYLe6DphOf43C25vOa5eIEDhiLD6LZL9//z0OUPCoiJTm7FAbyb9e6IOpE
4Uc0nCgR9JfUo82w8rKI5tpPsFS+eP0XfoP7WyzEB8a3/wR1vHm2IjQh9PEcdwNicd7saKYuCMGy
9TROlu+cCoi+WC+5VkgD3NaiOU0K3uGp19RjR6YCfkeb4nhnrVEn7As77OirYjTFzOjxbfFKtVRb
JBGxd6yR00IiqPABZdIahMm5Uh5T+BZ696ZEkl9FxEHBkK3wPIEpWK7uk+pX2X5wfP53eeJyzcXg
wphxya55EzXvhGWTZZlYTmlQ+E8YRcFjWFP74e+L87/77fKUy3rhhCYc6c1+6wurcJlpLIyqsBlI
LTMiLkzFybTrcPj7o979QaEfBqGLhSK2TH9+Mxup6hokikeRlx0VLsjshTr4wa5+7wcRckGCnPRd
H6D9z6dgIBX2fegSMgiZaLsMHtYHK00dmoWP0gbf2QAgmzbYKl2PYir356PgNtfoFoP5lNAgNZuy
MvhDaXOxNMLAUKTX2KymrybU0G5FaS3pBwfL5b//ZhMEPN5xFZJV5gJvDjDQ1LzSbjefgEssIMSK
eW1joOmBOFx1nZ3vfNl8FEL+zvsNQAA9kso4Zkhu/vNHt3Gb5Wrsl1NuZUR6+KaMVK9NJLG9+d8/
JY+65CS4JHgQJPnnoxI/x0S+YG3m7vzsilmj7mLW60u3+uBJ777Jfz3pzaIZOwsLGV0tp5Ei9BHu
ln9bh82CNEZMpw6XE2aygb//+35496Eh00RJkI5NxfHnz0MPRwMdIOgYIG98Z8ckP6qW5iWohXNT
OVq8Lkxev//9oe99Ppc7z+WluoH91i8c2VrCUKcwpwSNy7mr0FhZLooHIOr+g5f63qMCX7hw8UJH
4Ej45+/De5oW1bTzybiYghu3Q3yUTb/0bMIPbqJ33iTkCdtj7MFdQAbVn0/qFrepJ8c3p3yYxntc
ROV+ITzkM6Pd7jqIE+iLmf3j7y/y3WcSFYTmjDsQZuafz8wWEEXnMh6doAVXTH2H8qrEYn6XzRgn
4RFgY/+zwCZ3j39/8H8veuk43AcBedn+JeDjzwfDhasLfJE6Lj0vRT7NsL0kA+NnU+nml8SkJPng
O/733OaBru1xzxL04b8NzerZeCYVQ4eXvTXQM+IlVxXZ8ME3fP8plLQUz4Kz+81qcYYad8d57E5V
M0MfCaHtP4S5Lz74Mf9dlPwYsmgDrlbx38/mAJ26Uzz2p97gZwZ7Z1gPPnii2aW4F//++6d652H+
5fYmlQtLXy9486mYbi2qy9LxhOGOdTUSP7hP57i6Xez2o8ClyxL/8y6QWHBSDfnOJVThbTJXaDyP
gUI8nNp26Maf+DXTRQm9lLcYFMKanhg+TmdEPvE9CUYlna7DVf/3n/vOJ8QEie3H3U4Y3Nu2BAfI
NS6AVE9enOpre9TQXdAbffn7U957qVQrId0c+UHe21svyNaGeKlGn9JKpPt4rV5R7laRcmEb//1J
7+y0y94m7FvRvIq3v4fhgkmdWfUnP1/tg56DJAfDxgyamfOkD1iujv975DQ9IUG+Ni0QV9/bO6Ft
CFOQWBOc7N6a77kNcBXy1/BKIMzd//3X/VNAvlkyXODcO2zpC3/1csL9qytG6ZfCg8EUyUX7WZ0v
gXU9E3PkORtUFe558PrmF9JY80oYgYg4B+0ngc33B+fZO9+TBSMEESSSuu3tjQSzeRaduPAW4PQ+
4V3LmDLIBuu4VNDr//6b3/miocRwmOOMVCSuwT9/slJV6ess06cMdteVZVrvc9zpCsHfAFCEDSQZ
Mbv/9ZEuBHKOTheCCkFCb84AmDp1XWb5cCJiAicHz4+YvQ47G9vzbW1QrP/9cf/dgzyOEEbCVWzG
iOpNJbMa4K50DPrT/yPtvHbjVrZ1/UQEyGK+7aSmgi3JshxuCFteZs7F+PT7ow9wtsUmmvDaVzbm
BFzNiiP8IdTC1kPworhR+NaNUS7XjFEIe2fDMpVa3WIeU3DFht/7tRdJd/qA3I5zkwYu4OpZ6uX6
By2HYqVU26JWx8tj4Zq1eBeUykC5v1VooNddddsUegNS1S5OgRn9a8DyZygOu+6gOeheWDbSgAFF
Vqeqh5NIfiZo+QpxsJ9ZWcHG/C1XaTnSvE//OnoaAg5JIgsMKsKyP/Wtbx0MBfmO61O3fBPmUaDQ
qKTpGlnXMj/p4lHjpWg1TyMaQXHVtF513bU9Ynb72EktPqIK6T7gmdIcBzQONw7bykfi1KVztjXi
FFKx9x+ZYJWMdxGSkQLQxW2uOO05mskG1z9yeaT5SMIhG8ALREeHQs77URDzsoyIm8XLExNuegYP
NULGEx+ZCFQ3djD/6Owzj/f/YhTBnoSG8368dlKIhnxF9WgMqt0+m5L4a13b6NFd/66Vfc/MEQc5
oGTUi5egA+0zKrklYK/g4QprOp7QWJIUcuHYoG+wMdzKYoE8ZQIph7nQwRaPgVlU4MbhH5A2m5CQ
qji+Z3Ft7/pH6fPs/P3mMHtc9KQdQrUxwlteHEJaMcksKDxOfOO+RkUeUuAwiualKhUwYA7ubhE1
lSA85UYz4n5RCcFzO6GSCX61E3sliDQET5zWjk6Bq9Zn9rbW7GvHBeFcTeGICwLXKrR0+nlPRZ1L
5YCgjvU4gdWhdJMqunGy+iRyvyHMPKKGUooO/DV8AkFTDKOT28FXk3aPgkwe7nHpUcGOg/gcN97f
tQV2cGrTVHoeNgWL9xtpCAS6M6iWeqHqxN4E33AXK2lBMQGy2fVpXzkjlE2ZdqzcV0pJcYyQBXry
E7JZYffFxsHGg47WH1qjLf8zjN2G2/L8xiwWWad1oHNQ5vrIMmFw6r7NJ5XhsOlDV2gKst8YTTqf
A5wq9ojfio9oe+D8nOFXcv1D/wR/F0ObpCpkLJRBl69tlgZxU1XArajtBuZdmRvRV/AQ7nOnOObs
teqgaRe2wcepVaqvImurE7h+66XyC/GlRwnhY0fJ8Hj9V62s9J/6Lwh1JuWiXJ8NmhZEiYENKgTt
c1DL5hbdj+IzCLp4YwLWh6K1RffVmut67zeVa0xIGSgWKy1VNCOLGrSOGeUPhQLA5L/4qrlKLygC
cb8vHuasExW+6ryWCJnAXUIkWx5SJQyfYZzLx+tjrWxgfc6fLErcBkbTi8+qRkKQuHEmD3zAlLwG
xHafB8AED22KKNCbEKOy8XitjgiTca486fyxGDFUsijQknzytL604dgjKQnqDaeXNqAOmwZbztTL
cgIXI++kbtIlIGq7yN+aTintKpGjl4SBOAwC1mNXgqQCnpGBFA3eVFe3/jHy/jMme5KLmIiH9uNi
s4TgOLPA5ALO7eIZcAh8TiDAN0WfRv/Hoebn56+ARxb0r4POGb1JOHF0zDEfeMoSsEE7JVXFuLE1
VyfTxFrWtnQ8DZcxAVLBlhMCA/HcptfuegT+b1ojTX/P4PlzMJXlK7q45cYeXTt6AhaXQQ+bttLy
aZtBeWXfUq00IR19GBAYvJFlHSGHBIf7+nFYu2Ap2zsMZjiWvTzlcVPD887dAZq+oEkRFNUZmqIG
XTJB+asn+sEWC5dSALgbVZqtkedj8/c6In4aK2POR4JM3FeZDfrJHREVHXL3bAxa+6sLGzAFtVXk
G0Nra2PPPVwOG9a2zvJZqcyyowGfsKpdXRe85NLvQDSOUXdAJjh29liNhMMhJy3q9xYQY2+E1xoj
we+7t+hoOdpOhQAQ7p3cCJC4hh2Nuto4+M6uNqsGs6JJ9PCie3R/jtcXbG1vUAUi+KEvYVxE4lmY
+dqI3JlXpU566l3FPiAdkBI9qs7G3l+7uAgoVEEcx721zJfUDolno58mr6ur8RQUYXPGLqc4qME4
3YdhMd5c/7S1s4ZUIG1AgnyTUu/7HQEcWA8CxF+9zvVdcTJavX0A2+IHj51eCMfL/FlVQksa+Xx9
4D/9ouVbD2IE+gFPPZHyYmQr4J1TEbjwCmUQJdoSkfGjdnGB8aRdOfWNAQ7COeHUlUTHvk5C1A0q
6C/gLAfza49sQv4R1kkikJaPoDP5hdE7h3KMkIp3kBdITg3cb/VcVF38OUMJbdbK8csWAkdYB7dg
8KfPcdWpYJRG0wJCCnrN+C4D6Nh7OEnybZLThF6EA0ToAHumehn72AbR7FQDqPwWxbs7VHN0fIOu
T8zKDqBai0aYy2tClL241oc4byw4uwOhfDvLmJVaqtzFSdh/B24bp6embaPq9O9jajYlMur8lPyX
cVeJp0TYSYUKfAG3/lCV+ci242Y4Anj1NciqHUWP/2ZMOtCG6eqUdBcBSB1QHR5qxhwN22cRNADN
krvhZCrD8KlT3Y0NN79Ri/0G4IKnUtUpv9PXeL/TESjUOx8Rei/I8G7Y+RIbm72JcPcWcGblSBnU
pk1SJMsiLlgsoItCLMSzbPAM1B5CFCZUTUHbJ8OtFK3WBJn/cJru42aMf1yf0ZVryjCQWCZ+5g+a
wu+/cOrjxlJNensCmXHsIaxodI9Y9ujdsROm2Ghfru1T9qhmGhpyN9Tj3o9mZAOatRCpvEpOLdpG
EiFQI1LEcLDlhF6JhYD5xj288oTQwjDZoiSvFHkWW8YpwkDqYTWBSEJV80EmMz3YChMLyGP2w1KU
Bzu39WGfO9LfeLPn3bHcPbRL5/BfM/EEXgyNGlquNqSnHndKdebyT4+ZBKBXO0bs4ShrnC1sqw55
HSvTruyqemO219bWckmuMSrQqd0tdi8l4IzgXONWkPmTg5WQh+HBzwkXlpvrm0hbG8lGQ3yu/bjE
X/P//ytGSDRUtfKgYl0Jk8THMDYpqkI8UPIDKj10RHbulJUPut3CDcbzJf9eNVV+BqTlvKpZroNC
hNn4k1NQWbcRuBXpIa1MHen671w5zjxXuIYYgiiK8tj7nwlGRdpuNkyeEcLdFK1ECbyBhbwxynxY
F+sOXwZ2PXVFqtzLqEURGg6CyEJ6Gq9+euN3WVveAbsOblv8gSAqd32tw6vR4jsbI07UnoJ8+kYd
t8CddEigtgCgz29UOwL0b0Mo/tWoILtRUhY6JieTsOUeRTHU/NDrgWJCionVl5+N0D1i143tn5bS
IGqLJLQq7sgP0/HsNBWmy5ZhJz1CppmNSnApRxYpSkoE+CWX9X03jvHPwQjLJyMKgt+itDJ58Hst
gL3rY8C2x6wUoxqU8utbHVW64JAp1pjjkNOLW11tsvzb9Zm8gBOSrlhU77U5E6QXuUwCUwRjEUsI
TNLoNhJvRAVl/58WsZ8v8KvD5lE1GoOcN+qs/q5qBxRDcxYm3FNIG3/bgMSzjQdoZaNT0ecoUZ8j
KF12ExwNgcu00gxPL0C97wJT+0yWbzziPTh8uv7xK3clOSH9Lod8lE+fL7a/zpTq1nlflCbemgp3
C1JuskJKJ7bxGA4kvNFn2gzhvyc0lFGoQQKjYcjlZRlMkYiQ/tdRg8gs60zY4EanXuBB83U0NHur
2zaft8VBcUAFmQjozZn+MoQIm5Hm4qTpXqbD4dZhLdzUFhYAKK9nX4Bv96dMLZ+uT+vKe8B+onhs
GfQytCVYiNTR7mQeGnS1bfCnCB0JrMWdrH+sK5foueooUwVTcgcFOtgCPK9cQBjSA3YEusOV7C7W
tM8mOPf4LYJKRaEbqhPyWUiq//s1x0MOMpBOKUSSJVKuj/BOScbc8pLW7PGmtLHZDrUtv/uVo+DM
iKAZskkLf1kVj6Xp+gYBmTcgf39w0fLCak0qR72gc3h9zS76ltwD5IAmUlWuqzF787z+dRbA4cPc
xaLZqzsbdrmVmfeGI6NjpJjT2R7tkUpxJr8abacfQsWJDxO+JxuzunIeZ8QJK0fhll+y+A0WHAQ0
pWLbM6EdfUljUyJqrvmnwunNL/iEB1uN4bWvBlRszHU9ATjWmX/RX1/tNKlVQvax5mg3x9DehC4z
5VA0XbM80EvCt2/EHifpB1RYg6jHnHGyNy681a92iPIJEfkxy+OSjOo4hKlqI83pGqcEVu4etxz0
qoAUHArdjrdS/pUj4qoUrQV3/ozfXmAgIb6nVuy3tgfnKXYQCHETlGqN/CAdrE3s0phtr53oGeAD
wlGO2mBrT71/NON611HyPaA/79xEaNC8Xt+Eaz+MuqeBj5RAJUZdBA9agQR9ryomZ9cxnm1C3J3Z
dsHG969cicz0/46yuCFMBJIwQ4+wu0iQeuXZ+44vvfgy9MaPDgHg26aX+kaY+qfRs7iGeWjoWNPZ
hUjjLnY20vSE7A6vbFlnrbIrbaWtT0U+lNih4Ai8k9i4wNNJEQ34mKNnAVepRGDoQcRoCt8nquy+
IdY6nnG58btvUaoY+D2IHAGeEaUUREJAaiGxCF032Nd9nzz7Vo+bUSI6a099dGbLK+nwSg9HwQEx
CBoTdz6zsQ8RiJWbMJFosOlY/8I4RMYfy5g61vwDziSm/+z4A7ikQp/rigFQ/ODQ9Gg7ILJrGlst
3NUDqVPqg48KwUE1xPsDaSOOhY50Y1EKK0b3FMcEbzd1ZavhWUvwfN01teEqO22M7LNmtSMCDAL0
K4Ss0Ldurm/Hlet3bu2wG6GQAMZenBM3arXZ9cXyJjoNx9gKsEeLBeZebqZu3AErTyZDURmfoeZz
x/D9ZydmAs3IEbxaQRT+SuA4oVtc4k8Y1OMDxLfh3KJDcEtL39wKpfmXlztzRjVQPuNSoPm6GDlD
+jMeJ8trJsTfclN0e2OItnpla1NJD5QskSgL26/F/kd+cUwixza9fhowSwy0jJst1r8gVPv53xeN
mw1KgwNcigjy/ffgloFHjJ7xMrv4PSdJVPwAcqs/RBI4xfWh1i4SasUYSs/BKo3A90MpOQqDZcn+
yAZbvw1MpXqxskzcRyTd92JAbt226o3Yam0iXbIr6jMcDq7A92MGMaJrMW6knq0HrX1UCMKyfWR2
5RF9lXgjOVgfjLwANDZBq1gcRqN2qwz7HtOLcDPnZihm/XItPiPxZGwcgMuhSFtVAkYIeYTH+mIb
jlFkJkbHpeyKdLqr6hG5at+cPpVTuFXLnafo/Y6fM2QdUwoKuoQai6HQe0i4VIXpmfDsYUfzyGeI
Hp6ubw7r8khr8zUGRncGnl0U79wu9EPRxrrXB2bl3gx0LcST2RZ9eIfxc55iy+e2d/O++pVjU4F6
Mc8qYmFN8oKFofriGuAK93UWV8hWabGgbY5cm43sK15qeC00UqsPsS+d18G24J5roch/T3AbPnUl
+PyTX1gGFcrB99+sFC7jTjHD4DNMsSK7d1BDc3ZxS+1xB8lC0fZO51tvaZuY+k2ESOCbbaK1gEq2
Yv4Hp179rca47yO+qs5PibpusSeF7UZ46aLE+LCym5vQLVv7Ba4ZJa5kmqruuRnSOL9LcGh4mnKz
T05+V06/cFCss7NfIN5/GHsgQchpVuKlhx0PBqkC5bsH2ZVrJ2pyOL8Yad7ruwCZgLc08cPuWIyx
RCmEgPkhKRULE72skuotPoxoAmpqpu5ae5ZTTy29tTae8ZVkmcY7T7g9J4xUOBYHIpKqimtContE
wTg0InPlBj/VKuQ1xKBaMx66Uu/BUSQxhpah5abocQq7f+TJ0r5MTunWGxHTn5B4sZkBzpBGamxm
zV6mk53setQiVRoTWfjJwY0ZmY8YQTL0rIf6wRltecTfGemLmNZVoRjuITTCGMkhXafHpCAeRFX5
5frW1+ZpWP4oCuUws8glaMAu7uApK5CVTAvhGenYJsiGOEp+H+XocbDb3OCLPYFhOQ95hCJLg/B5
vM9cdVJu4ebI9DYrsyE+GVGGR+XGD5tv5OUPo6lMoA/Im1Ll4ofR/gJnOhbIVYVF0aFK5pfxMR37
yn0YXbX9MSluMu66JnGKPXKOKn4ANLLwWjHwEXsVmRzUs4LWk37QccotkYWQ8gft+fFjGWndr+u/
duWeEuB6nBlVTfSxzIZMzD2xRK11muWZ+inBsXTYjzpCjhuz4l5OCgV4kMVAfxnNWjxjXQsRywlV
3VP73P2WdgEGDoA4P+qEqmjbYFeTIfHcI0A0NCmiRxVWCtoGMODyKeV1AfWP+AjlQ7CC/Ma/8jAF
7jcyQRV3Mn/5xJI6qMVmArkRFOMDpG1H95wCi9xIBdammIeArg7geA388/thoxIVp0ZOFL+mTmDB
m8W3JA5i45CuvG3C0IEDYLCl08deTLCfwuSHk2J4dAGwiUc1xX1r3TJ4MkBIx6d/3jUkGoSSFKTh
ni2vKKL6bsgRxfaKMjO9EUOQp0nGwUbde2XiSB5tarz0XgE7LD6p6p08RkFX9wgrg1tfReIGMlf1
4fq3zP/K4riC3ACtJ1xKvWQE75cnn6Tt633Ve3nk++5vtxdWcoBXYKB+2XAAH3J61htjruxEAy4D
RGOCg8t+eD5Zg2MX0L+0Sm++9+qMTkFuZGcjs3Mo0Q68Hwuc/K5/qD5/yeJLMSowKX7AP6FgN5/R
v/Z/o2NbHQ1653UJliYPmajAyiHNT+8EOFP9yPTgZIXVqJwFZAN63Ch+mcfAbMJyFomHm9OXIc4h
UZbF2iFAUTH4OMAu/txHE32uGajxYKdVjm9BEpbaSxgQ8uwA48+eywkX7g8dc5XkW8lT9UORoVac
Ey6MBiCXiOxTnyYIxWZE18Fz6nSZtQuLbXLm2tyzp8BlUv5RWfn3s2CHrm4blZReHOvjJx9DF4xC
EBYEziLFaaB+jTWKVvXP12d/ZZvNrTnQ+vTn4N3O5/evyQ/zCgE3A/y6BonqMQ1QP0cXyN5DeXWe
uKzkxoU73yrLxaZGSS+SBHcmib4fjxJYSwANkBxbVfOpz7XmDeGucI9qAsKjtZzeANpUe9Sf8o19
tnJsyS25g0xSB2Z6sc3MUjSlX9MDbY0GGTRExm7MwBxurs+ntjKhjMApmm8HNMMWEXY1OXFflRYc
tahFskSavtqcrVgTnlX2VsCGLZJph1mRohxSZIimO7NhT3xqMSFNdjgq+/JXHWAQcOKi6xA3E7UA
91Mo/WeBHbWx8XtXth23JX21mbt0SSjCXgTv4jqmiYfcA+1hq3wc0xTx/U7qSbuLaj/1ikGm7uH6
PK2NyxUNngDIsxBLUEkZ6wjHIPLvKYVdntNWRk9GXeAJ3CXaR57JBkHWOnq9PujK2vypjVP5m+mR
y/5+1w0oqs/8Qd2ZShQSVdydnM45Dm3x6uMx5V0fbmXH4fNHc5b3VaUrvTjSdZ6oRod1pdc0LdIf
dudiw2CU6RY8Yy00pwc7R5uQDFwuiveHajIr2oGYWHomWOjp0Ad69COnwjRL++YjtshhbXga+r0d
UI0k+qSity5uOqMyMT4Xxvjj+nevrK1NSKOzTARvgA/f/5zBzxX0ZNXGi7DYxM47jeynkn18I1tR
3CXIjImjlobFvxda5kiRY6HPa3vR75mSRI1oScAo7BAC933cE9MkaM4dYcHx+ieuxI1IL1P/ILel
0LJMPUZ3JFeNysYrplDbm4Gl7apadfdqHMnToJf+jear8hRxlk4hZnov14dfKRVqbCq6Sdyl1CiW
gI54AtseiVJ6SGdM/kHYLZJEOTYFjxFi1bDUbYSwQCqx2496lBpUWWMt+KKGKP9u3OgrEZ5NDEkE
C18QNMLiXh3IspF6hLkzJO14sMDoWDtDGdr60HRFvdVjXznC3OAwGDhXQNGWzyT5LtAt2cDt6gsQ
ezJsz6RZ7c7FQ+eARH6+kfaufZ3NBUkxg9UmUn6/l0Oc2UrdjaWHUDOk7arW8RIa8jH4hidHIz5e
X9eV15GmLOkZDxVbazkaDf0SFcVawiZr5b5VNET5Ta3w2lhTTvaAQvCg2eZThRrUxn1sCj7k/cNM
uWUOm/nMuUe7WEbgLbFfpBCIYPglHNWOUB2jhzabdpQxVFpgUEc+TKnTf3LjECPFwnDGL4h/K/0B
DJ9Pld1xfOsYTJPjoARdqlhGOX6PgF4vG0wepmqIdiMeCtoBNaiyPjZ9inhdEwCWuXGSYphV1CcU
QQPd135nLt4zaDoGo72z/dL+pJWNku4mtMw++K1m/k5sTQlP5kDXwNOpmbwUgY8ScFfnLUCPpv3k
9ghQnFyIGsgASlPRWbwRc8rO7t0O1T8rAcyLGdnBhJWIuk7o97+LEIE7D9KetPf4vpj5oUZr0t9r
VoRT3M7MEF3eB1VomRvb7HLhOcpgOSmXaeRkS4SLFY8Q/ZBi89DOLo1PsxCD+xt7rTa8QR8dNEmY
1XBNYu5bf0fIJragb+s/gLiIsoWqXUD8qiDE0s1WeI8tQ8bPUwO2BpXipnoIiOZu6BnFHwB3NB9H
GKVfr+/6yzNNvDS3PIg/uNSWPbmoodc2JfqE5jJvgmqjM6piJLfrEVE5jT1h0fXxLs80AQdBIFNN
uoPazPsznSZ2WOH2A8/AaPJjhIL50azV/8iu7ffXR7p8Cd+PNB+6v6LrQYg8wrVC9SRG6Ec5uC0G
TB0i+LyJJxFiAWQOY3VzfdDLsINBOcWORjxPKWoRgcp4hI8e8nnCp4jaR7pz2w1JvRHc0CK+vDGI
ov/UrOnfXlz8eTb2kvrJ3DWP8/5V75C7/e5WRaL/KG1IFXeqEYr+BrYZZuoyqtEX99G5RiY+RWPx
aDTCrTxClYSSFOC1eFdao5wOmPEKLH+LbDJ3uibLapdiDDYL6JVlfBe7KUXxwErKFv0dsLUHLpq2
8prSSLtHYotJoP/vdL9Kw4cZG0aVRHs69CcF+X8Ne8wqGezuUIUNd6vWaBLl79THYzjAza6DRTPq
7aMS2kShgLrD4QVIkPLZimK0MYM0aIM7s3MwlcNkPvjtW3ZiH4wStdpD1UZ0Hg0rbHZTj/LgfsL8
Or6h7l9+oKMdpce5ujQh2xJZHw16JSGyIzJ/KwgST4bpa08O4PfHmh9/J3oX59IgDFTcKjEJaw7T
RCkCPe44ru4hNJsUntF8f9Wk5iT7EA+ygc+T4kMvtSn+2kzY0+2ojEsq7T6xAM9jVpffnbh16p8y
LSiKIvnlhncmyoHjh0lV4lc5jqF/qKqmL05Inro3nch1+YYpTvQJ4dAsubEs1KHPDsZdxaNacGTe
cmoCNd+rlAG2jFYDkktO4hNa/mh5NX0bp8dyKNviMa6gpu3VwXSiH6KhPHrbODVPi8LE6HstqwWq
hmbeuWeE//3I4/CiHjJhtwGLvJSIzye1Nt5iEes4+zyEgvcxlcCywEXnmEg4eH7436wytm6lFPh4
URynvK9T7v2qmHXTURLXkuElnUrhHhzYL/pHP4qN8gjrIUv2NvrNzmsfACC8nypQhK8WGtzFjyBJ
FG0n7Fqe9Rr9Ncr9qj3sjBiV0HtF+kG/G4aW6GqiZW3c1VNkxOcgK2ryqQYk+Q5RYEXDCXu0Ijy3
p6o5IZjIq5c6NT0ANTb18kvXRHb/pTGVRuzSSogfQaWHzV0R5Xh/BE2IoNHA/aueR9xCB9xE5nDO
lXrx0TQtrknIl7Z6wpJCRdDRQqB3yAD5HliIvD5IKvERArSWZsRHWeOTDhpvSm/VAu/j/VSa4jvW
ej6quhjogZZN5fiEjRbeek6AKZWLbLPOX63hociSsUJaMw/bfQLA4qfv1xa1oSSLy7vccYdfbmNH
vFF9ybJTqBqwRA9tU/FsCVVhl+LRGuEySoxzTPGFsHZkENjx8TSLdN90jtQw1Hb0n7UJDuJI54cO
P/6haC5loWyyQyBqNTrkgxJlZy1rtQy4mo9cf1S68WuBefGdhZ8bTXHHT59UU1rm0YnBqt/C6+nG
29LVouZkT7bvcQcn/UcyiegBrxG1uEl7S9Z7bLs5WHY40lwcwjEL7lVN9vo5TdX+U4ry0hvkd1x1
jRQB0v1kWm146PsuwDynVGJUH626TfZ+g0joDX4D08NYO9Uds8ak08GmlVXRgsp2o6Pm2nGKXUwe
AaNY7eugytr+Bd2jxYK2abH74l3wMauuBW/vaOazaR6QEGhcPFm/ctw9tLdBqN3rEMn8UUuF9tmE
JhPcRGEaef3QZNphLLA2A7dY1fUN/4TudQ6Z166oTVo2CAVtBa8r/RhqlXMHc86v3Yvyq5OUZhSn
keP5MgoqornQORmZMH4YCMh9SoxR/16aZvpQl3r9EEWBc2oCYfU7uzbD70GXD/4RR1A06rEZ0DZy
0pUYA8kgBAYg/YvLVr9iRcIZWgWquu9Xe7Z9eRpcd7jL1Xq8U7vc/PeXHwFADh7VbzDSYv49f738
MsDQTpbMRUxe+FTjozHseMXSs89eDnd5ZLkvY+G3r//89oMf1UhITWqJF215PIaQyE1G23MRpTiQ
pHb3Pn270/VRLrNfppDiHbh36lzasnXQAk6Wrq/ZnpLqbrojKfSxk457/UOOz/xrXYX5nWGW3T2e
gv3zVE/V2/UfsBLBIXBlUfAQcEP0ZQkeDb9YyJrZxTxGHhodHGIZAJEdcMc6Xx9qbePoYBAJjef8
dgk6UKGkqkMr+FaKYzsfw25SMh4FZObdDxoUqK1E7DKqmgvwFsVDBAguojcRNw22BbrtaSL8YQRW
dTulrvWc+pO68WUrcaLLUaWVCzqF6tScEvy1RWmRi4TrBOxdEJIcpb32wez68fn6/F2GwMhF0L/A
qxNaFcow70fxR0tUnTY4ntko6l0cBwo+o6HNJMryTEeg2PeC3XN90Mv9AV18xsjPxIiZmvF+UGvC
+DzpKOgJXJMQZMTUgQayCSi9047/zVD0bNkh9PCWZwHTjspX+5oy14hbPVqQ+i40zPEmi/1w49hd
LhglJ6BK9EQ52xfAW0y9opDAzvGqEID9DEh/IOqtNmoQlxueUWgFIE8DWI8qy/u5m1LANXFv2B43
ua8eAW0G6U4PTBs7KAXDdcQsUev+90l0QeBTLaUazSvyfkw1bjgNWLghaCrmmIpToO15iJW9Jat+
I9e+vL2ALVvoiyIPhGzksiXZNE0ocdExvXa2LNghBxOE5x6DdqCvPXDmwzDoDv7iRHa464ICPNDx
G+qNc/6noLIouPxByPBesk9pt73/5sy2C8S8HMvrKydQ9lg5mR/o05rGnt6E+wIhIf4NJdDEnRHk
eLmbSRv1vqn73MLpA6jijnaCXZ7QgFWKG8vveu3QlUGcnDqnxeQBQ+faOQSuVdaPfSZFS0IxBvmn
QIHC8TBOE/Is8Atn8y0qqrgdoIrT74EnOF431SMtoDjR3wCztGLj9r7cx9Q5UNviynFhsCxhd1XR
TSM6WLYnqzw+h7h53k1q3m5M8OUyozwCvY66CqTFi/l13agrXYWLtED/+bkd6+QbtpxFudOF1HTs
NO3wNs/wRNiJuipu8Imrvlzf1X/kvN4vsQ4+hcucDjgFhSXkQm2iuPZR9fP03s7FAdyJlX/qk7Ju
75ycEukeaLWb7VNSpJcOO9MG2ygVe2iY+5H8FqIp2x+kgiXVGUIbfmEq+q3VXRX3tn4clR6TIg0/
yS1a9OXysCY0nqlDzn3g5flIJ1sp2TQGRQttOkaxluEkhoHG9clZuaLn3YzoE3Uvjv38K/56fXoc
P906ck0vnx2XZUKTYFdG7PCpSsWWbtF8lhYLoaPRx61J2XimFbwfLMZ/RQYqxAiFnHjfusP4tZt6
O8ZsJRwfDYLUat+Gtnof6XJT1mJlPnW+kMaMSrWEKX0/uK52gZ5Y4Owrm7JdMFrJXo7m1uOwQl4G
24lkGnxZBB9At78fBk2Uxq6r1vFQq5UP8PH4vBHD9KdGKGjSkZeMCoU1VYqKLJ1DAfslIStIckXv
IfqrgYa5vTX9gMQFsI3Ka8ApKWKt2CGwIDN8dKYc+xBq+unRSeL6tpRAu/eYpkYPFb10gMhJW3+z
OiIOvKVCp+0ONq+/eoSM5745mkRtC29c/YObkeWT/gml2KPfgxO3PuUo3WIa4f7zXTNL4c8FTQDo
lMSWt2yX+fzH2PGctkmPmFfrZx0Yzr+/X4g/0gPhYaF6KhZBTuGqvhUMZBcRvPz9IO0Ep4EcX6Vq
3Hq91nYTjCZExdQ/+h6L4mUnUl5RXC2JDxv1QA3cPIQE6xvVvbXT+fcoiw+ioBdXhpEwbSKaQO2U
2SkY/O4lxlBoY6iVAJEoFFmNGYZN5LFYIb+P0jIJQsdrVa3HennEYJK7G5dLakP3bkWzHqq8vREh
rkQ5MJg4jjPE3RFLEpM/SezHNIqXRogJjZlO/Unt8YqkoTAca5yUHq9fd2vLRlvHxkaM/XUBC8zU
euiMvre9hLn8MOGuvQd85myENmtzObfguFkJ3djH7+8ANwUxFHUIslGBdL8VGHy7WHZSV8Hz7LZs
esXDQKrb0hVf2SxQ7IyZakdQevFgOJT40ppIwksHrD6iUgk8TN7winNDZyPaXlk2bm8acSS50M+W
2QS3Ozi9XHVRmwpzcs7EFG+Krgwf6PKkD1Aqsw1w3kqnFZAcEsDg9nk5aPq+n9IBc4cAH0Lfo/ob
PKCvZf8CKKl/oT7lvgzgHw95IrkQp8Q9JCKznqq48IeNyP8ylgH8gyQ3Sh8WoInl+0UwW6AIVwS3
hUVpHc/3uL+b4nFApwSNgteQgMrFsypMwr0r8oAgXcvLaOOSW5n7Wf0GHymiN9QuFzNhhxlUakDY
ntTUady5qpKNoECV8Xc++VypoRUWG7f3yrtNyUag+wWgANmvxX42TAREw8FV8NCZIm8Av/FY4JW3
76KxPkdhNexyN5x2HRnFzT+fV3jtMyoT+ot+sex9kJmlO1G8NG1pP/YWPmpu7qYb5/XP5bYITBBq
QzCJbHWOEhePdgyRNJjcSsHxYFA1nNZRpOo03D53SQ/GYAecW/2PqtjJYwwvGlMrd4w+qpiN/hDa
ZE4vWZjE/s4iOAzJmsxp+FBEWZHtgJgjLVtqlaXtXaWTOLMESqSdpNRsH7+mWMU/qA1cCp2Yy0/H
DjLrfQO3Er2SNtV6CE4p/mChNTqYqY9Rn9x3KX2GXQdu3TyXQaC9wGRw+7MGupreRtDpz03f+F/Q
6YmeZZ2n4pBgzd0caaWE8maEB/s0oX+FwVI/O4BLcneQ6mNlYDubzA7DXWQMn6wE/v4+QYJvwDa9
1T7iOGFhV2Zm6XOXh5l1wDU1f+mI1nB4dEoiDekrOFaZEbDSfT1kNXDMStrNIevcMttLbOisnQw0
3OZM+kPPPDMd6H4kV9pd2A4VvZxiyJ/MIsSxCS8GzMOdPB3EYx4jOQRkXMcwNU6c8TYnGf2dmVL8
bgMA3uXIHB/7oM2+I0qZuLuBcnazV2lc/4RrrL/UWZT9pKXpf2vroH5zUrwXbuM2nj7DrcIUz+FT
a6Q3WuceKi1ErthW0hN2YeR8PvUhbDERlUqhtsWO8TlTbCvceHtXbu45+gaAReN5poG/v9zG1ml0
rW0V+ObRl3EQFt2BWnOOhpFHGw/g2lDoSCOSQRxOlLSIKCoMjvkZBCpqng9PyK8UjzkuW7cR/q4b
j8TKWztDGgXFH8gBF28tDb7Yx0TO8SQdk3OCyeeHMcYw6/oNsXIdOjMbwpxRfmSyi7mzMJbCuN52
PBxLlK8sYHUXRq4awVTRHVKmwim6w/Uh1z4MHArIH1BVKsHLYrniJohp8JGgj8huKHbXPaQC7ur1
UdZWitiPeaM8OFe13o/ihL1WReDFvb7RpkPSZcPBaPs34GTJxvZb/R5uWDjrMydXn5+9v3JAw1JS
ywr5Hhs76jP+kxiclv5WP3z9e/7/KMbiexSIoHmaA0Sj2Jnu/4ez89qR28jC8BMRYA63DN3TPaOR
NJIsSzeEJMvMOfPp9ytdedhEE7O7MGzYhqtJVp064Q8Z6hdnBkeJ18OBfbj/6vYeiPuKtr8Qu0Hm
4PUD4W9vZ5j50cdScKnvaHf900lW+vPNq3D/Cjs8QU676Z/gf2znUhs7l6gbi0AbquWkVFX59lME
h1DmUgJTR0q5eW0p8g8FJncOrgCJrVChTaHzgKv01B+8tJ3vQ8VEk0lIlgo5itcvrZfXsCi6lplF
PQyfsykFKKBqqKcxRW+igyRmbzGdnQa+CkzXDR9BDUfaLz2FDWSM0IdlDwq3G2cXV7EjT7id5MUB
Cow/GiMKi0r39XNFZknmojKLyWl/SB7+nszHw8xONXeppLoHEDDaP8sYNzyFuvvj/U2yE55QSObT
UeKQOm1jRayhYFWs9N0xry5caZFwBJ3iWodlWy+f0TWJDj7j3uOCRoSGy0iI/2/2/prTa00BZ1wQ
hMh+gfvF8HbswtVn3Jc/SzkYTBgZ8nM3tujj3X/Yva8KTYIBKUJTdPy3a6NOlgyiugLeu157czRI
dYzWegf8Q1cP4uPOIYfepeF1QkWAptZmsY4AEq5WZYHKi8yg1Zzi2S7U/GCV20dClYKpCQMM0SPd
vs5RGzBX7Lrw4gB3eADZ0LlDF1fvZ+vQ/2OHs4aiMfpjBiwdh8b45okAmCpMqePwUjY0enyq9CX2
RdsooY2h2V8oKdrJwzjWnPyuL7rZqwpcz1291ktscXWd/DCw5s48gtne7inxw2gSw8WAs7YVAZFR
GDK7MhH5yRpFJ/qe2U8ERvUTDsRKjcxe1+ueukRt4uYVtqjB/W21u7wAUjGZINhuz9BsVxhuyEp4
SYbBKDwMs5cReSPQn64UddXjOMnaV3CReRL0E8pmb84wdJk0j8YImt2Eq00AqVpMMfHaCBEGh/Wj
S47jl3I9BmXoaC9FlB2N6nZqXS4U6mob9Rjq3W251bZNw2S1Ci+yhn/6qPcwSlE7MM/LgNfpoPRy
YCgpLiC1PX3Avxh7SX2qX+6/9L2NT8EFgoSGqXUzf8JpYew6p5Uu8Txp3uLMkGfzvgzU0jIOztjt
SRYXKC1TYoagsm9esJV1ZlRNlXRRZywq9JR62lIL7f/YRcyo0Unj4hFS5a/vAWvth7osbfFW0+Uk
Kzk2jn2ZBnOGlNSAdYqfZ5PmJxYijvdfpfgvv64uub9xiRBimiCmtk2ueICYF656eEH31/QaU9Pf
RUNTerYsle8lJhBHt+uOWrYO81ucVda8nfbi/KZj9NU7lxV4iKjbikz9jkJY1LwY42oWp7IYyq9W
32tfurHUc8/C0d7yytBOKvypq/bfEereR63q6O7cfxl7UQ48JKBqoWsBkluc9v9km0Zmr7nc1kAy
ciMrTuOUZZ9kM1URa0Wd7+u0yEp9gj5efpclJ9JdpPHLj1piqa0/DVa6eo1UK9nBFrzt7ABBJR3h
1Bmiz7T5UV0m1FBay7qkifyyDMVThQz5OXE647pESh6QHvyDx/bqR3mT/33/jdx2C3kP/I8aBsGI
Gz9As1RjzSzoFkaK+W4oMz+LWw8gUv6cVzGwN9Q2H+6vuHO2QQfhe8u1aTMN0V5/gigaM0lrGufi
hDEAcEcegzhX5H9qZXk7uoHOLkkl1xmqxtwgr5ca6gW+F5PTS2IVqqdJ7eBD+eoPPt/uA8E0EZNG
dLe2iUeWaCSptGAuwPQwM6Xwo8KAavhpnTSKjbe/PQOaO/8ZJoWk5a8fCQ0qVQ9nSujIBFQI9rT0
kcQx8HkOj2pAse02kQMwNgGLe48B5nZsIlew1m1pcC6FYQzJQz9CIXPDGWsMF9OpufJkMwGJro52
9EnG8vHosO5ELtYnzaIm4E9bgA+9D5sUizgi29Lq2xADglXrG7+yxtyDtHak771zEwAE54EtBrbQ
WTYxGv6pqiyimB86Y3pHMaSjqp8czTz3nopmCyQtEnIuuM19s4wScwAKk0u0OGZyNSKl+lQkGmFY
rq1wCBAbejvWnShsM8xFkmAHWTFhKdmpEVWcNWm/Vblrn+piDd/RicuPqJ17ZwF9WRRhaLxgaLJ5
h4tUDM7EHr3MtTwh74recUtP0pMRNz7ozu4sxXQQ1W7G+0IXdLOUvIKA0RZTu8QWKPpgnZh80DIz
pH/ruMuK4P6527s5aM1CsxKBC3WNzXJZo6zTinLRBWRn8+9UaIiBgTuWMzfNqZHPy1pV84vWTitq
+1GLQMzowJ72s0xt6cJ2sFmDWa7l/OB+39m1NsAYWlDsJbo1mxiHAEqTFREU/lyX2q+rHH2djVJ6
uf/0O4s4oqyjfEOc6mZSJsehpuDXbF6UWo08hU7hRVpA999f5fZoiIYWaBxw7NzP29SzCxtl0AVw
cbCr+qNkDs6CZ1diAn5Z0x/JEukHwfQ2wrGg0FClkWKgfbE5ixlKl1anoLcHjy/82Jt6cZoTp/5U
AQ1y1yUe/4ZrVHpOanQHTf/dRxUXPj08oNnbMN4pYa+l8mgBcp+XM6ixmmGSZnoqhFsmkdrbVRFQ
bzcYcnJvMAi/iTqZYzLhb4DlhuN8ruZQeWjHyXrz1Y7cj2hGqQgSkwNu9uKgIrRJj8i6QF6G5yVr
0VPZrj8ddaze/v5QLaVRJHY9E/fNNahbw5ipE4hMVLPVZ3VwgEX3HbqzraScVjkxDrqUt2kSk0aI
NOjmMTFGcff1tdtaYxqbMK+AECB+nppJG8woTXijFM5XKdUXD+Get7qW6+CGBCvb5DbiGt5O/ABm
OOra1cxUW8f0kwp7EDZUHQgF+C/3j97tAQe1CHxBTNgc6pRNFxawz8D6c/gwm0n8ceym9mLXynRk
q3Ubs8UyXLEorvESt6zgRevRuITb91DZulR7kqJUPpREPHhlNTsaAewuRt8LCK044VuNZCSSdUJj
ET4sspmfu6HGj8lswodYaY6Q3n/mnq9yJWQrGeuTk9AsN27oawpmZ3ZhtvFVWmxwmTHyHFYgDxky
SO2i97+Wop5mv0J53XTlNkeLaDD68ke5OmkZRJZRouA/z83X0qiK31NJ0+k0rMNS0WnIq58x68IV
a6Ym9HRjsHIvXRvwzrNmS9Z7LeKbqW4U4Vfr5muqWwgdJUPuVWWFwm6hoo7mr0MWhT6X6fJVa8Lm
97RkKXhCgF0DClIAOojsC9rGgtHqEest7BKzhc1WDlY/evUUNu8NaaXFVaxRjFflqhVf13JCJGtt
y/HfNY3aB3BFhuLHpaPg1D4NOYQPec1e5tWGBvPGDSteuDDRYTJLp3FbM8FALMoQB6RrOHeRz6in
vJQqAIf7q9xsIUC2nEDOIBUXYNFNmJFjCYmCfpYuHZiwL7pca36+KsNzHHKn31/q5gT+WeqPWgQr
3cCV7RgZCMMAnWG1XRJoY6s+rmVxBCLYXYV7gH6SaAtsc/o1HwYTfQ+aaVPunFGRlIIS/trBs9zc
bsi1IF8idD4hWtx0vevVadPRNsILw0U1CK0+9xRJTf4OnSG96u2cHHkb7Hwnutzo5grgGxf65uJh
FNaZKx7FV4y9kaztZOscgsVz43g8qopuAZ08HFbzTCmYYgrt+9dXQaUsagMsU7qscdh8obLUel80
056UPl1Hl+bGOPpJPuQTVMd14qjEZn/FMjB6SdV0flHLWf40G1of40g3S4NbVWpqBxzc8iej5/Zo
9LXzyYlK6KyIeMvn2LwbZTXTuYfKdrGKMv0ot0PyHXKlfCAbpO19ApZg2sEYFHjO5oZUokzKG9OB
WGVLCUP4OJoc7mSNEmNp4co9ZONsr24XJki0LrheSQ8RQ3s8wpXe/lEkjhZ/1MpIGlF8H42/cQKC
MRUjFaU9ZGXWLi7zx94KJpng+Tii2JN5Rmy08UclnDMDsZjCTJGRVXvjLCWJ1HmwDrIf5ayPi9eN
BnhFlDFLIhwKg1pgWEPTnGLNCCta3TJYC3BG6790gRu4b2GoHjlE730FUk2VP6iLUJp+vWskI1UM
3Avo46Z6TLBtlqsWNhBK70eRva8gYNWoByF2fhNFxk6djHIow0ujS+WvwdDid7WSz7prImD/ZswX
JwGAmbha0eJ0tiWRMiLyQXs+vOTpmEE7XFXXUPPiCSTdGNx/rptMXSwFFYZOFT3Dm6k3QupDqIVM
J5Zk1r3JRPehyHI7WOR1fOpobJ2lEiudZjbN3/dXvmnOsbIQoCO40MC96Q+PMWKVkj05l8YBoujW
S2Y8JAVtAbQbG0+ykWRUzRx4XWGsASj86iDz3Ns4oCUo3BGFIuRsNs6krDLXaedcjDKMr1Nsrh5q
AMXp/lPuvV8QDDJNW6QHYMi93p7oZa6jEUrORbdaJO7woxnPuRHn3wSX70GSph/tZHUeoLw3dwx4
v0ycxHXElIPc8PXKUgV4C6ft8GJMq3auW00+z6CcQBfX5Vs7BuTvnGVOBrM0ei/iVf+n+dvpIwp/
Yr+Gdps9lapcPpbNYJ3aejyqLHe+GlsVRIgQM75t0y2iRYfmSnRFUbz7q9EiwfgsxgP5vp2vBq1K
1CWMl6kVNu/OrGBzzDoCdNpoZ/9G6jidyxGGbVC3k/N9VQqNuGaU8bnI6vBgx+w9oSDq/IHriknR
65dpZZJt90zBrnU1GGf499rkyzqMK//+zhTP8DqzBuhML4ACnZkUverX6zj9mpWMDaLrCrsvAGf+
sBZj4CT9/ICnyZGv9s4bFVQ1aKK0OtjNmze6aEuiq3GUXGOtboI8t5xTPSwmpjpm+kVr1Oai2kX7
dw9H6GBz3lSYgocEQ4XjR5hj6Pf6OeeschChbJNrboLxm5XROPd5nn2GMas95mv7L/z48KDh8idC
b14uYE4EuDCpYDC1jeBLYQIztPL8CjWhDgN6yxISQnYVda412cMc9F1VpKc+SSvtIZyVbrwWINqA
rY1x9DXHz3d2F1TifsHkVw131JOyDmj74xyiOoPh5l3V9a42sk3dTpeisyLNpua2TmvYhDFDfj/H
mpJf29Hs62sXt2HvVlaPaXqC+uU/drHAJZCc5DLWQ6u6deUkz2Bro79NfHf/DiN5+jeJZGy6ogas
lxv3jvoLvEX+rcSsIApMxIDiZ8PAj7fPDP2FAe36bLFhIeuvsrl4aC03n+/v193vyLmnvgWxetPf
bZxSGaYczQJ65My9ilXpFbdQnclwuyKqzfO0YN7mzXCCtYMjuXNVUVSzML6p9Cj+sEP+E9/Qa0mQ
Mi/ia2oNeX/OxywCx9hFuvFSZV37jg0//ZTAS78nLR7UJ7RdmWvdf/zbPin7+M+eEvk4wWlzXyWK
lg+TliTXJc367GNucG2DZ2RiD5GEsOQOKKqunoR78k8Y6vOHGb8i2Yfj28We0ljjp3XUUumgIrkd
a/OzUDcEd4/0HxSZTbgy5ymMup5QWZVdNwYs1NXe2NQwW2aGkIrrFEpinBVlrHuvWxojd43O1EvX
znXloKrc+05AihGU0pjk3CBV9AHABO2A6KrCwvPFmDNI6yV8znMwVmFh4s8qlaWfzBAOM4bGv+5/
IvGo20MPYJG5H3qPtwVMuIzV1DpFdC31tnFtaTGeQpLqg3Owk4kiMI6RCSg1NuV2rr7YVIAQrVgl
otIE9oQmCqucpmY9Cp37S4nhKaNd0Nqb5IUytLNCJ+OKyFQn6IdZ/6ilyuSjYdEc5KH7S9Fs57Hg
4G7r5zoayGLSKLqmxdTjbCXrflGuqzuMw9FUeHfLUs7iuIUFpgAbvb4R2imPywr7w0teZuYjujNl
IIWa8VmTyu55TioUwuQy92QUQk/9rMD00sL8r/t7Zfc4g/gXFErBCNxWuw3OYkmskMgMymJ9Y8yZ
kAM3bf2+k/MUJRMsY4vznOkxmO6M8PYOP41q9atIm75VuiI5rmqW2pEh9V6QZQcLYwqclm7gqXJW
rBZRJLpyt40/kWKfgbLnkfzFCvvuEUlNGLXqhBHc/bfxpz+5OTqIRlGJkI/jRa5rrz8JnpMjE0Qp
uTJ1QYO+wTjlZwUu/Uc1L/K3Uh2al3Gx8vJFTccK5ZJGHmQXtl+Kvk7eUpQ6fW+9oICTflmR0c3d
wlqlH3gDjqVXroPyWaudJXaTsmlGV9YmSfdQsVEG3zbjha6CVLensdJVON8OF2sz1R1svCG1PuGJ
kBtXDe4fVlNxi29tvMbdd8YXZf5YYHr4D5a/I5V/btUBjnB/oOrI3HgoAMXA1pc8fUmXpvlHSpNq
8ip4AADk0TtBG6mIUy3IyirsiIxL9aOzlUpxEbBv0GVLteIDpaFU/d3ZRvUIQLTTPkXrnAWF3q3d
Y9PN6a8mzo3fSRRP/xx8kNtQ9up7bI5IHS32kmnszsnIfqhjYgVLazVeqWfrw5tXgnQPZB0WJwPO
bYwZFgqniTzouuiA3owR365yGi2/TGbjw/2lxI/ebDIx1xBemYyHrG2ZUnYNAsxSn1zHyqke+xVl
BLNqK//+KjuRDPVPaiHmXghYby9ECxAslgNzeqUlPnzVwyx5Lp0wOZW45xykmbfapAAlSTJBtgAm
4K82AZruLHq+RpReJ8lpfnSTvH5fYBb+JaP98mmo++n91NbFD6UZk/ohkeMJn6VJG+pg0u3w+/3n
3gkd3Lu8Wcp6pDW2k6PYAGE8NuQnYN/aZ7tf0SDCmuXExNcKjCpV/3aM3Dz4pDtFjG3TjiFqgFC9
EfRonVwqm0qJrw1aWwFkBMgdCCA/R0Pbe3iYRF/+j4cUgzjalDtcMYS5hjXiKa9pktBjEmrlnyKl
tPjLPAm/Mf2fV1enC6UdRMi9vWsjX8kMBNDIDeKGWIi0EzPba0y5m7haaa/YUcf2y/3nu8WYsaOo
VwQu3cB8ZnsPL/iS95a6xNc2DqEoAxAcP8t6jmh3H+rIntVR/kGCg/mrKcP50o11jtRahztrMBVT
4/W9nCqnZh2bgw+9d6oENxEiA5v9Zk4YqVAl2iEm+1eV7HmSrOk8hbbzlK3Z0Sxt51ULwT2KRfIQ
0Z16fRfl8WiWVd3EVzUe5e9Wq2qnfoUFef9N7xwXB4FZeAwECzzDNkcXE+vGWR09ujYqF86srX4y
hN4ip4sXZlCuBhQs3h6ZgHNwzdLyo8W+DbXTXKK62WNlWhp57utmJJ9NhYG8iZDLQVTfOZdgaxGe
x3OBFbfNBcTEUknOp+RaL530OKb28LwmqbR4OVl/fyqlSh0OTshOh4GiUAgUC/QPQ+XXn60G0atE
CidE1vL2XUPm/amz7OURWVH5Gifx8GiYnS0x4UulIbj/MXd2pzg0zLPE0bmZz4/qalqFbNJGrLXi
rFvJt7GRqg9q0/y+v9De3sRVAm4K6HWgAJu9uWSgjEZxPCu0ht8DF/ohAzc4KKP2FiHpB62MuAdd
xM2bDHFF1FYaEVelw2dnRkE0DmJNb49ooHtHgMtAAGBAod1sEslQyiTueZihHz81tKHPzK6tk97n
SQuRUa69pIVbfbBP9r4VtSpIMeaOtzhss0SJBac+Iomkhx/aeio8W8EXxqyWIxPnP9Fyk3EI/jut
PGhYBNZNzQ5jQ+sis86vkHjn8KQOXZO+RyZ/+LfVDZQfoY+g0Db3ke5r9BstlxlG/6FGbQLw7Bp/
S9MRNUkrCesfHVChX3IUDZ/KvEdzsSiNunEnp7aOkvHbz28wlxHZBHLFwDLU1weJI6R3S7Hk11qz
sSIaQiVAa7g+aBzsrSLmZrLokN3ObWxnINm1IjpkU5n4KboowdJk9ZsPJttYo2vDp4bIfRMUhniO
+75BknE18xMbPj+3rVJfsha2xVuPJsMa6CRiCMzQ5qaga+1U7aYpvVoSWPo67+qgrYojAanbMwN3
ig4Qx0Wh2b6dBhZLPxRRn6ZXuUf/1VX7Zu099DGs92HPZNZV61lpgxHIyREU408N9nozM5EiLRBz
IkiS21mwSTGFsmRSXMEHaSIR6VTbG9Whnf0aW5DYTZVVdyaKrKjqzvRjTdOV5Fn+Uefq8KVEHnT0
p3SAUsltajJsGrviV1P0CiZSTYSmYQwmIHpyqiQG/ApM/DdtyPm9gX6q6UGK0N/rTpy8NIqJXkqj
Oi1IiqrQZn/tlRzbv763zQCtUg1IeRypy5nvVS5ekq8otxvhaOcwmDu9haGtFL1nt0KaJe8KPfGq
Wtb/WrUKuvToGISctFooAPW8tRETMvjb9/fKbQziVRrk7fTOUDLczheAxYOn1FSux7JPzzk234Fa
1ZlXWZlzEMz3Nozg2sP/BatzI5BTh0s8SdqcXGcETl0Qq+ZPPWvB+Vpj+wlOCg5tc/dmLC6XIPNY
YixdOJSgNyFkHHpFazLSZJAjykO3QHiRKwdLuFmVfOCczcHZu238AVehoDMp7sA033R0urZH6ahM
r4pdGbmfZLH+K23NUBFkwAylWG6gk7U45RSAeLF+qVGDTPn9b3qbfwizDdIdDNP2hLfSOJO6cCT/
qNMy9MZwiT7Ti84fu2Uqnsxebi662g7IyvD7D9be20+Um4w5eO23iPIWINaiTqxd5rnjCfyj0FDW
UcXNjxq+e3FbOJ2Z1CF04revOpMaSpyC/RQiIhzMdlk/VE7RH8Tt2/wReW2SKVRP6Aih7PT6DsoX
beXcmtlVlQqvyoviHNJ/d+UGaRdgFwe5uLLz/vAcEkUrj3QrhRGleSYZFRiaSB1UlAGWyHxIQb99
tuOyCwMRDWbfiDp4x/ZIN8dtm0x6GgtQRW2S5F4pYV34YE7IhnkhRPXHVI6OxFL+wOo28ZfOsphg
AQHl4ty8kzki4qFrxl0W4QxwXoG/gIRhIoAtU488+JOCuqAcNEM9vI/CWe89cF5jFSRDnX+WsWD8
FyvgYn005aS6GKrcC1nrVsekOEmtwIRil/rymNgQEHO5ri45/S/pik9OPnq2LfygQoRY5qAIzS4D
m5mO3cE23tlbAI1QBLFE6Yk+5euvbtLJSJaBz6CgBvJZL3TH1dCRPtBgtISK0/ZFMl7FrBOmA4jJ
zYtctaTmHgdo5NjtvFwT9OIVtzKZjwHNk8r2EUAnmttD0hjKR6OudMnTMsYXbmcIKpsKLK9AzWuZ
Qi+15PJTGK06oh4w0md3HuSelm6nDwgbjnblqtgeFCdnAJzopVGZt140L/Y76hEgjItZy6s3yFny
K+v1gVHkav4shlV7Mapl0lwFiFziyl2cpEGmzrbpR4NkdH6XQ+kKlKExVX8aGe/SZbHmv6pWK3Rv
nJbooaqMqXeLRJG/N3US/i7q0HxWzAUXBwtQ7OdkyrWfUOiRSOxLp3YewxLxZrem8Rmelmwdv7Vr
XEguQRylhTyS0ikoBgi1T1ZEd9CtpklqfQcr5S9kWFJ2WjEauyxZLv9jh6U1uZLe9j+LZlw4v2A3
I7RQUEV36WwkyrtUb+a/lBbn9ZMNAd4gL1i0o3J3pztGFQNEi6egyX5zyy5mjBMRWuCXtpuRZqZX
6qd6G3mRXMzvRZ/w2enSiolZX74rpH7we2YonmUN6kE0+1NZb3ccaCdRUIHjugXgR6pWZNNiXxAt
0fTAica49pu0a9rn1ZkbTpYaJ9Fj5jhTei56sgMU7qUseejSuTXcvncm5wxMK1xOmjahQV9YSKtk
6CAbrkFr3n5ibLIMv2WlTXoPoSTa3gXb5Ys8GF2OA+waIxkftfB7ZmmUq5d6sMf6VPXZ9LPILewB
0D1Xqne2vTrvzHUxdb+NzfZDakjp33aNwStkDD0r+Nfmjl/eF8viSZ01pa6EmsC3pFrl7FRYcg9c
fEkoTNZYL6YXSOUcmAVh9PI6LkN1nbpkwFaYADP7ubMo72VtxS7OcthnB8FkJ/GhuBDQHo45iYG4
Yv4ztB0bxHPWuXIuqoxLbqMWjeP21Fj+pLAHpKxr/JhM92DVvU3HsghUwC1nwLQdz4WVAOy2kn2J
kSdwUxP0xpQVlZ/UA9Osoco9u+hCr+9IR2W1nh5R3WrPWrccQWx38hGuZ8oRfgtM3xscCRrrKaMP
fgjUMn9qsvVZUuc+YBZlPPeDPKNqX1gnwzhqBO9cpqrQtkAMUhYqpJsoboEbcLRabHbZKU9hl8pe
2jj6SUg1nu/nXDvtSi4qZoZ0QvjUN62KuWTUquMDcLGzuf+IsA62v6kNBtvttJUZsFlk68c0GZHc
txqZSSaEsCH5PEzS+l1TEU9oEGeE7eRGSSiXb0aYgfsnixEMSSrpm2bNjOXKJKREbKnNgywp1qs2
T8XBKnv7XEzOiG+QRG5wXvyDolgg2eNtmEoMtwDOfl4ypxW3x+Bc5yGzcGQ24uQoE1R2sm7BbGDW
boB+vUHQgcyfrL6JpUsU5t0caG0kRBMLxwC7wj/SQej3NbrQxrj8nI1k/k0s6l/YNwxXy2xRMO2N
td4JTCU0mgeyzUz1Q6sevy4AzRjmWal0sueW+X1KTfpysHV2f72oZkm3gVRv5zS0kydFjeCn1yuR
ChwpM20jzTtAAkqhPy0aNhaQP6NTXSny4xxGautSFxsefDD9ecIrxeukUXrvaLN0Wu1B/hQt3fQA
FkX6W9O7+Rzn0pGmz05ajGAeNxq1MzDUbfU/OKvVOTGQY+JIfknXIj5PtV78Tuc5+5wUknLwknaO
MgQZocRE9+S23RhnDZySnvWgT+W/chgmjVeNQ/sh4tI/Yh7sLkZD3MIHG0WGbXu6R7wf4zpTuizz
kPq0oHBpQaf5ASk243T/4+8kmnDVCY0CoXUr5Vih/4ZIDM/FIHn2lBX95moxtIOqdO9rCYwzO5rH
4bu9voF4QtKpuKRGyIGe1M2aBzotonNEIuTHlXqEsdt7gdx2dMGhpO30U6GitNiDhJe5MAffILMK
JHzUXdQ03t5EJbILETCmMQpW3JvGph6G1pxH4tGSpX+CmSojvWxj+pWPyUF8230qgLq07wRP7AYa
0E+MWYdMuuj1mLwbJGe+0LXsvhdKbLn3t8XRUpsPhtmMEs9RyvFClOVkyTatNbjEX6IwebOyPZ11
rgWTP5iWgm14vTcsMIATNN/wkmLJE7vDorUeZi/Tw2wRRO4/1s4NQVsEJQRRUDM/E5HwP5mQ1PZq
CqYEvnk2REGnr+lzXIypbxnr92aIf+udMh1czDtv8r9L2pscYCpXI5uN1bkoZgI9DHe7+VOFdupI
ctodQQj2no92AZiVP2jnbcrVCIiNjN/HpbbN8lnCoeYxazr9sTQ71GenaOISXK2DvtreEwp7DNF1
oa+2BbTyN9e+G0Ibj1U5u5rxQO+1WtVTZEzVwbbciSN4YQphLYZb6NxutuWCf6vS9aSU1Sj1/oos
oz9pPcZ5epJ4lOpmcH+/7K0nRFkFhg3jgO0MGHZwOIwl6g7ZMKanpJ/Wf6bO+Kb3vXpNzNE5qMd3
3iTVGZ0exqCkq1u+eaIkpZS3AmsSx2gSG7hWFBjvnJGWPPIb2V2Kb/Xn/rzl0c5VAm8RtsGV4Ds9
aaWxPNP1MT8MNlyj+y9xB+BloIOGYBdKHIzUt/MAw8xxPTNDoT7qKKd5KSSvnkvdn8FlnCXFWihE
Voi1ENSeW63u/yqmrPRUpZYeo4iO9/2fs/fkjH1NcAvspZtJlNawfuWokKtQPQ0WCHAP5HRSENGp
PUCl7BxH9GfYOeLa4/pTX4ebsR3DyRrh9uGFtjzVXRU9KIkkn9o1yoO2Mz7MUpUegE/EEdgU2KAC
uIcY19M//dPy+U+Ik7siR9h+kS5pV0aBs5TZR2YR7YFe8e5L/M8qmyer5aIy8X+QLqOZJtTj2Fq6
qdMkLrrQgJfuf7G9ShJ8PtxXvpZw895cEUOYr3qP/dsFmof1A1N04zIhReGPIQwBUlFH+9Dg2PbY
h7Pzl9JkuuUlqwaUrAnfzHKnuoBwIaYVlBk3tbTWUrynGqlZvcj5tTet/OpEzpGpxO7rReJOyNdA
3d9WrJKcWlFa1NG104z5aueAaGwj7p8dp/g/hnW8UygBpEmCL715txOIwrRpANHacwwEU3XKh3ws
Pt3/grsHQai+0X6gMb+9IhAicFo7BBod4sLhLtaCG4iZ4TSYIoM75knnDVl8YMW19w7/BG7gO1xP
W50QwEnKbCGQe9WXqKM3qFaYw/I2sxDS8P3H211KiEoQ3/jTthipCJ85+mXoR8PA85Ylw2yjk4tL
iHzbQb4uPsf2eAPqQKQbAsktsJsJWlvJDbUaAq35eRhsGcmVITshopr6xTCl3yjAjC99NP8fLWnA
iSbJJ0gWweZ4HcymGQEdxKKJ4nHtnCskt3wrGZaDAcRe+KLAol1COi1mZ69XQaFfmQybow7wGC2Q
VpIvmapmB3eAsrchKRyFEgFuW7D+Xi9jDQrjVgfJMqk11shFoqoBRduPi+KaWFS1D6G1ar8ZkDFI
bVdlrv22W8b2XOSrIfpW81i7TAJ6x7ccCzit2BuxW+Vr8Y9crm0X0N5Uj0ZBe9tMiChT19BJIYV9
/aNVdY1nDNmkSznKy3W12/yXU6paYFqz8n8cWAvoPlM8RAlv0IToZLWTXOc0NKrC9gWMyk1MeTjX
fTmesmwp3aKq0gOu2d5H+ePsh3YbXXp7s8NANjpxKwM3k8JpRPtRwQITI4ggM6SPpr1AV4CS9X8c
XUGGNylPadJtO1OOCo9GxbP8aimR/imr2sRDibv9tVjrt/tBYufkOn+a3qxCVbrd2UW6KnWXAnOT
SpSSGCfo7aOWRMoz3ncO9pJGVHwye71ez0BLjwqfnWNFbUqApxNJp2cboawUfyscYKOrMQO+dZVW
BrOJAq588Dp316EHRidM4Ey2nQu9Cs246QxY8m1WT+5oTNZpwrb959vfpXCABLsnk19t32VcoCSx
6iNNTJSSrgybEbVaAIMy7w2vyM73nhNBE8Ty46jc33tAWovksw44t5vWjMqwy+xC2qztUIwvDLQa
6Cbt0aW8l/FQD6NfjgCNxRnchMEQXxRraaCsxrGQZF2TprN9yApCY7deVtqYU1lbQZE6RehCTZlm
urfxxLBk1QbL09pSqw+S2b0nF0RaMAygNW+a2ZU9R0Zawb4vdHl57ug+wAiYj7Lz3SenwKNYEGBQ
nv91kDNyBBJryCoX2BHKw0xn+ootWuVHJhQPLZdU8KBF9Az6ZnadeBgvcu80/jDZzUG3ZfeXiNk7
tglADG9odpMxSCOH1r7kEkomfhEDYYAXbiSNX5qLZT4gQTQg4ig3OE6rFCpBjUhLe9KAGthuJplT
evCTdi4ABzQ90BVRi94okhhAK9vFyMJLtiT5qQWl86Sls3IS4MH/42uDSRNqFwD4b3SBi7UKERdL
2OeWHAdG36SBNDdHBKSd+hrpRPSUSScQNtzeaPNShlrX4EthZiCo4qaOHkZZyYAAtaFfr+mv+2Fj
7/2BfOPVqXTrbxh6DsV0lVfCmdeE4i+3SEPU5YiDzJjlb7/LhFWjgBkJcvG2c0B/okGbKpIQMUvC
c6d1qeTqZls/jd1qaGSisaK5mRGvf91/xJ07lDSbqEhqgtLSFmdZIabeY5BLqYQPw7kd/sfZee3G
jXTt+ooIMIdTsrvVoizJOcwJMfZ8w1DMoRiufj/0f7CtJiFCM0cD2HA1yapVK7xBaUPXmeOHKHOx
vkCCIJw64ygxMXZwBB6EEgIDIZ9y6+bmTmro7RiJkt/XSmme0xrxpSBN0GJh/lFSjkHkHMIBT2/D
z4yk/TW0LlZdTgNIDipmxEWvClM5QUJx5msPVUP4AyzoKmjadh7ObpKPH+bFU8CetAKkqJYOU+Zj
xZH9TXtxYrJeLEV66ZE/+o77pogD+L7tD7WHefK+86TEZQ4Q1DWrW9cJJCEsPkgp9653Qha6s4hZ
gkC6iVuOktRpU9e0nJWkQlR+csS7Zq69S+NkdJ6LpKvuE094zH/q9O71j74XmoHQu/DzCc8bhdXc
gkReag0i3rqenofG6O+KNDpCEewdVs+gFwK2al1q3Xp/dBaqgvm6OnL1KU2WXy21VcGpYvoc1RYW
J5UhDvqKv9HVN7UOl+z/X/BmV7U1rokQD1A9dSqb/npXBKtA93M8ARDk/zzfnDFGygG8+XqEzpeT
Mil5/dXuPjQtQKIU/UaK15cPjbM4Oirw0ggZdfM8KV57SZdYD5TGsPzYq44mpdsQBX+HYQL5qItk
4O9J4x8vWWm6TCZoxuBfIjGQlibKP7ASznaUHxVB21DxYin95tGqDICRl62yza5T/lyKZQw81JQC
ZnfGU8ecmndcHEkFrR32l9+Uh1qlmxnZrRYWN9+0IcNmusk3nTKd9xl54CEBoZzdNMqln9td9UHE
dP88pcOAKrff7Hu8MoZBlGocUcjjt4Wf6Cx3mfQhCQ2jSJ6TaSnfuUNTL/cZ4NboYAfvfUzOCfIH
6MtupbA62Y26gpN9KOI4fzKirsdNJZre51WfHdzXe0tRFaLY+5t8cdtqnMx4NrM2B9xqe/Wpz1xM
hpAqOHcC9evXj8TeUvS/sCpzYZxt6G1qW9Zq3MOMTedUeZg1Jf+nM2R/cmZj+vz6UtvTRw+MXgMp
2Cp8d9s3yodCmbl2gFhTeyodt4VljPFFRKM40SRZzq8vt5Pysd5qv7aaoJH7rb/nj9PXdtmcxiOa
uUglup9lW0b+tESgkZVCO8thmEGg2cYFR4b5hNGVeFdjYxVMQjMO2iDb24RWC8wDOiEAzHFHeflD
7HxMZC35IdHYZ++9yvICw6Y2RbbACcxptvy0UcB+l9I6MPTY6da/XHq9bP54B4gc5ZYcZhE2i6p2
IHW6urfOqiXE4+Ki0efX7ZJKn9YzBOJCa41wwFSgDoc8Ui8dF3PP22uMo8CxcxtgRYPmBeKHHOGN
pME0MMSS1OehXmIbUZadfdcrS3rJ5ES5V+T1gyG77NRL6fLR2uQuq0b1P2z9VX0Rhzxq3E0N35ka
dhXskVD0lhNEZav+0IahD2zczQ6+w97Wp9ezumPTlt1ASqQaN7SQIFKJevmGlEKpBi5qNCelq51P
JZ2EgwCy+35JYEhWkZ3G4/XmOjASE60KS0nCKBvyi55odLjSuTD8QYvsU2VE5tlqiVuVriXPVkPP
Fgui9qB/sPfUZDIrppf8lRr75eZDp94tuxi2nNZk7l9q29vPchblBVmN7sEkgzsSGNtdkPeLQSf4
oA2Vw9GyLMo94qbmsrWsQs0/zkpWPDijknzI0YY+SNX2Ll0KHeQWUHgggt5EmCoZhFFjdBsWA0oV
zjjiMlhOGNWVQzZT2sro1Gam8fH1wLb7lKA7Vvzn7zb/y9eaxGT+mURzqPXk9GOqk94vlSR7Gq2I
YW2cHnWp9255RjW/uTFQm25vWb1pC7Uv3SR0Ghv3vRGpGK2QP2Y7stDkLxaMAxMRzFTLfpnP/7z+
sHs7GRUnJOVhlhDPb3t6lqxo03vYWEbMqXAXjDVELjUNtaE7pbeXS4FtVqi3unPBKGB8pF1mfCzl
kjgH5foaKW9yHY1+LOw6RMEQf7751nZjTUk+DXGYM8/2cwQWPtWjoh4kGburUGUC4zY4NLfoLZc3
7OYus6I5bYx/6Mx9aZAk/HbwTncuJOp0nLMY89NHvN23Bn2PZlgtctRSWSyfNhFtxHRJ+8dBrfFx
nukQhKqbON85ubkA+4poql9K0KV+PoD59ZUkWlp/9tiMPrahQxwsNp7juEE0Vn8aSrl6S1ZCKEeX
+npX3n6GtVVHEN0z/srJs7200CjFbbPxAmVMlnfZlHTuXTqkpnrNyHEqUk+9/x4XqrROjjupD1ok
6r/jfoje2VXuFidygerN9gOr/TlZFILvAMs2bcwRHkZeWgqgMiUeL1PTG5cELP0/el6pH6ZyORLC
29sqZC40FNFJWHndL8MAW8VRJCLPoQ4vPbT0CPGhAQ7t+9c3yw4/Dm1+EihQSlSLm3kYej9KQhcs
Dos8y10fklzydxLZ5pdu0Rt2QhGhZgg1Kf5bHxxtelRmo7iiWdTKYIH92j0ZcyWcs16sNQn0zulH
4tggBGpXV9yrY+Vui6iQnL+D8nd+tjLr1Ttt4sSfbDdrED5YiuJT5UYYivrMdNz+OqIo5p2rocLv
zYKG6voL5hPjZZyQaLjOvTsv/mxW1QPoPi/2R6mJT+Vc6/ajmmRDTRt2iNs7HazEXw7/iPi3T+Cn
A61tY+fc1aRIZ/gyTfzp4E3ubF3yXx0vRmBzm0jm6IuolrmHoavORgh6234au668vr7Kzp3E3JCA
SbSiOXYbp6SXVggAMHeps0p9aOuxebDLtAvzRRRPsA+/eFWkfX99zZ0igrKIUAIuhHHi7YS7l3Wn
FxVbH52FOpgKs7hvmAGfYJCkBwFg5/IDOgDpmFk6ksG3oYtLP8ubBdDQ3FS/as+VfFMxf8Lsw3uO
Yq8cDpLEnfXg7dAzWC9Aht5rKP0jgZ4jNwZUUgARiIwZAuUKGbg0uULDKlaMdgqgW6rZl9ff596i
DCXWlImCczMbxKU3b+ZBRvd9qmjnZdR/OsnS+fZcI81YL0eWEDufD/4G7xLmKIH1tkvfOGkHQYn5
xNBWI/l2vEZv/rZlBlVqZAdfcCduAeakc8s9+Ts3fPlGY9OoY7VZ8R9Vg0KEiikemEHj4CLdeYVI
doKDRV1kBXPfJsAmJOzaZrzaqgxRLo1Od+KTPXoJEGivXapz3VaxfXr9u+28yN8IIWpN2rVgI14+
GoaxVoeaoHLfjGaD5uGiXESdMR6k2D14iztLMVcBCrFyIRiw3Dxf3s1ZgmgZgJVGVheH8vVR1kZS
BE1+GLj0nU+2prkUL6u42Kb/DQXUVvTFyEMH3eXyLCMNOqa9qJb0LUu2tp9SRv5qByf9Ky2KofBN
TU4CmlZu/k+IrHkk4tbLyWhhLp9roaPxPMWJezFnV/sKl8e1g8SrdQ/i1QBHSBn77qcmdfUfw41t
DFOqbPzk4qZ15E6+91wkWTqdfVo6m1arOQ10CCZFhHXqtYjdz/UpwkrkICLvrfK7t0LXA+vV2+Nl
chNZU0wNbplLfq1HJG48Yz7qhe2tAqoRVhgJKunHei/8GahiLU5dQ+YhSMD+XQovK+iq/shc8WiV
m3A4NCwz6l0ephZQAmOyk4tuN+p/2NxrOFp5B6Q4t/cJ8HyY7JBLwrpQlWA06Bcxf6suJuDUgzix
/uCX+SRYAYIEYrj/J2718rWBGpm6bslEqEVx2gZUE+05sgv3o9TsIj4Zo+VcUP69Go5IDor07REm
y6dt+rtzid3KzRH2yAttdTJFuJRmibFTqvqGKecwUYb5oHjZe0pQiwywnBVoe4sLSxCfK6m689BI
ILndJV3WDZfWmdw4yEsI9L90R6JXYBZGFPbTDAH39cC4uz5zZkjPZJKQ116+5bQVI5No3nJfW+WD
uYzxE/1T1Xc7K7kWyZQ9QWNTLzDKuoOVd18yolZg+ikaNrzuXnf6FJw4Ky+qtgR4xLs/LRifse/q
9dG+3Z4OVIE4fhjMsOQmDyrHOh86lPzDFDI2HvNz8g5m3nD3+svcZngwBoAgEbfg92+8QzKjHJnz
lhCmkdQrUe+brOKEDkFX+TJqiK1N0kePNo2Xo6HRTkt1JSugB4J6Hcnl7T5q1bgcOkMUYYUExZeo
aqfHPM9s9VygFvYr6S35oe9K54TC/vAgDCUWgSjzKvdtF1ex//BpadvBqgZDsyXTxyCqMzQ1cnqb
9ecmKZz7xEr0E6zj5PPb3zhgiRUluuaBt7JPoIz1frCTIgSZnqMt7KkfZijrvpfX3efWG8qLAwry
YOi80/lAYAflp3UQgIzgbXzoZEPvtoiLsJRVfZntGI0JzZrej3SaT4Oj/zM3g3cn2h5Rxrwrz/Q8
jmbBexuaL81Oo2+y1i0351YZI/QKHBG2NMjvhsY1ggxc70G4331SUAlASUGibCfOiunGmhpZIpy8
Nv+A0an0fFWfvMzPtTpZUebj/K7q4+Ts2mlR+WVtj18WHAyPwMnbrHEFtK429gCu3U20iPQRujo2
dyGeKmLxa8MZf9YC2ifSmVN8LjXxXw4z0zOCsgYUekMDage0hAfygpVCjHuOy+X6MHYM/QMxRnbj
DyKVImh12VoHx2fv2/658vrnfyQMtL/xNeqyPHQrZXkyx8YOMS9uDzrfu6tQ7dKiYE4H+vnlKhMN
0rhoIj5t51llCAkwQuc0jQfv9PoZ3f10gE4QeQL8txH1TdSRasPjiotMvblYxj8oUf3E6EsPSg/p
5tcX2wnBRAPiID3YtTTUXz7V0KtT7AgjC8Wo69ln5iTim45jhv4sbCe6wwihulfVYbq+vuzOM0Lt
Y6RFXIAXfNvy6c3ZZEptofneDSCg5UJ1EEQZLbBUF92DXg7yoPuz7f0iXoowJAq2aAduBN+Bdco6
bek12+VId90fm1Fv3rlKr4CKdSv5cVF1aVyaMs2TfzsUqfpLMca9+fntDw5YdhUupL2/+bgoKumC
pdPQBRD9CKW1OtV6K4HJVfG7xBmORKF25mY8N0B69Kjhu2+4QpKAyGgE5RnXGDDJSqL6JNPZfNe6
S3/XOjbWIYlAcmnWuwCvnDbACvdBKLH2g7ROHnz2vd223rugq1bw1u2ti0j7YJo0dsIqEXQ088FU
iovVefPXpnXTkxzM7t6rtfjt0oPgneFLgV9YgVa3vY8YFbdIFEyt4jgqTuZS5qfWvWgFcP9UvpO9
997InPLg2tsJGCSpGNKsvYHtQBqgEAgG6TEqUyPkW+reefKW6ogLtpMWsgoqgKuEwqqa9/IAJ55e
eBRKCJ5aShpAzmgvizZHp7nAs/b1vbu3FES9dRet2OTbln4JoKVyFkScvGWE/9T0La5Povci1Jwl
DpKvr7YXIqAoQbChwb8i2l8+WKPAMu4SJQsLdcKpLQXd0gMguHpL+nMBV/X2qEt9RnsMMBLdgdsc
Jc6WykxbPQv1rmjuGXO7p3I0untKRHHOIqs7yH33XiZNuLUdTcW+QcSViIgMusJ6cuySMBmj5dyj
qnOqkBc6v/4md5dakZlM7HcoJ7k2zUqKTHqoFCQl9VLqZzF12rceH6aDt7jd8xDK9LW3jsonUe5m
N3Zd7HlZPYkQVXrySyrPs95Dh3z9gXbSLJYxsZfhBtnpGQHBt9n4OssgMBxgMyvu1nLmXHuxC63f
cN8jH9bcOUia+oo2mSfbbNuDm3N7oay/wcHxi8oe1b2bjHLKeqSEZjJKyxrYMETx6ySV+V3G9w7G
2pssn3he+bh+oa0zZ0dc6PXff1nvsz5ag6jTsmM37XG1j20UBl3yEb1rM9+22wfhdu05Zr4XDCB/
fFkv84feEenBydz9yBxMWmh4t7MfX57MXusGZNYL3n6R9OcF2fS7rjSNN+/a341xpqUr0AS2x8tV
gJOWaSMQspoSJQoq/lYwtppzirtWOQhse69SQ+KSeSiZ6wbcvfLoFa+vWSrqq+voOP2lt6bad9TF
gzc1qRdQlOPF6jvriKO1I5DCY1Jn61RlMH5uK7KuMXtNoY0RNrJ0PkyVmf0qpAX6d51EyDtak5hz
5ImSPjJ5q5ur1zvpmYtgONlTl37ulgSsCeKOb27p8LMYuwA4IrXe4DxiQ8pSMSzywthuZpBbWfRx
QRayOyltC2j49QO9t6NgFQAfR4cBguHNjpriOnewi87CCPFsw0cfy/3cuH33dglAnorDCiB2JVnd
7qnUYfC+pFVG1T+08pIh6fjFRRxYotfhTg9VX1DbQ07OYxQJjeiggtC1nSOL8hB6s0A2t1L6jinz
uveKLFyWpREf9aKf0Cwz4iU+aavy4LdiqiVSTqWWoi02ZqM+nwyQbIava4i/+alr1gm+CFlZ+UoK
MvA0WZ3bXfNl6b73k15DyRhqiZ7jHNmXupin9Kqq0oj8ZTYT4yAAbq8VlNlWzgXlEHv3trdpoXpb
VKXIwlbVi7AQ03TqXSu/9otxtD92Az7YcY4JSjq0wG6CrR55WtNJmYUJYKrnSpoGSmWoVJ1n9NnO
aZNOj641IucEwe1/bp+AyNOwTXr7LkXDCEk6OHrMmW4iUtanQ2xZCMiCM+yfpkUqgVMUzkHc2zsL
5Kh40TGFJ2+8aaYiSZyUvQtsoRCNvLecVrmiGeYeNQj2vh5rIITJx0OP4+aNLtKVFXJzTFdbzT4l
amoHXQ9j08tj54CVvc3kaECAjEPnCxj6RnGLoD1CTBnJcpa6f9QQiMeynZblJDV5Wgx3Pr3+nXZ3
C1hJpmb0ueji3LzCQUxoL65OTPliqD9RA5rluXdKaT7kmlNqp5ZmeOPnqAvmvleKynmfDqX7rIoe
CtPrv2XvNaPJu7Y5SYg2lQc921hxZyTdE0hCJ9dsozDJPOeS4VB38Ni7S1HDM+PlnGxUE01QJJBB
gfVWYAXlScvVTnsc0fkKMG9h7vv6g+19VOpKWqd80C1IJMEaRXUUQUnVW2UwAWl6iDOwB14amb8A
YR7Be3c/KvgQmEbUO0hS39wReo2iOi03nG+iUc99NA7zB6M3zfqKzvEigrGie4A6Vfx5LpOsOddR
G1/FVBtH/Zmd94y48tr8R8/MJP96mZh0vJXRQK+LlskyBYW24CgD3Cq7ynJsDq6M3bUIrtQHjGJh
OLxcS88HPjVeNCHwZv1qe1l79hz4dEKDhPL6B92JO4x66TexCiP02/cbj62ZQCNm+6AVeFcUXX2J
1OiIj7J3B5LrYCxKN4ar8Pdn/qNZZ8wTtF0IFKGNWqvpI0g5/cJXSvsLYJP7ZGhlhVXHGOnlw1DJ
mssQ78Hpb7TWM++MWnv9pfdmdTibyPdfq7aP1dNYZ6PQfEObsUXVTFSrg4zKu/UxNxErgMd1zuZc
597bjzYQGIpham90UW4zNzzHmTCjXhwqtoElb+Nqfl7E4irs3Do42juHjaUInVw7YFBva41CpobU
xzQPK/TFHzVl6N2ghY70Ix2U6WKY0awdHO+9jQfFBdIQKTGY73W3/PGZkn5BraMg+8alYn4cOtO9
a5S4RzRx8A7KiZ3sGxcPQKfkv2Aybx+unqtFQutjCuTG6Xul9LL7pRV2dcfLNx+hzDkhc80GO0p4
hgffcG/TU8SQx4AyIvdfX/wfj4mWFNCNgrVTdDzOM2DMc2+l/cET7r3MVRmLK51wyX37cpXKkFrU
r9M0ryka2wfWZKHRrmT/2ouZHfQV9rYKOFKw7dRMW9IVmpoZMvd9jk+bnZ1TPakfJiX+WOuyOpWO
Ox5oA+0tB4xiTd0hBbBjXj7aiPhQPQKnC8uqME8dt83XeIDerJhS3BWGdTTA2nuVtIzJwdCMYrB+
k7ZYqXBa0yzycEGX/iT0MTqxJctTaShvHxnhE0A7iNYhHP8NBoZ6BS0VUFqhGsnoQatlc87i4mig
vPtAiD0wNAEktVE5BF49DKZLm6ufYyeY6M0+VbVn+gv6vF9ej/Db7isPBBUHAjc9902rUMgKdFSd
i9Bt++WiEBeZgSXuM9DZ4q7rOnGfN5F60AXdbBBGrPRAtVWVZ8esAmOKlNImL8JFx8sPiMx75vQ0
KMZiuSwAPQ4O9N5y4IARq1ohg5sKr7abcnGpscLa1ZQvLm5uJ8UqaMDUMj8vznyo1LDNS3hAPDrB
3COStdWkwGEJLeyiL8I8suunfHJiPHPrhOvHEtkPIFrjJW/6GvZ76c2foz6T97LUq1+vf9vNNlp/
xSpkA0NvhyahTyh0FaZBHWZ36UNBNUv7UjZ+rxTpWy+jdSkAhPiCcRNBuXp55ItcXRpXjAUCQHaP
n0OKeG+k5levjh1M21rnx9sfDfSbuarH7qH2k6keR3vgno3x9WMlawloQJtfLClb8z/sH7YP/QGP
OL1JuFbOXQyST3DlQDIUmljutEZvEJaxbLpqU/IfHo4ON8QA/J5WibWXLzPXSuFEaPGFNSflbonK
j9KbpnMKM+Tr21/jnyutJ+ePqw6EvxYvlgd+xAXYnjb075x2KU7QaI708PY2IxZoIMQA6ehowb5c
Su8Aw3gagWbu6sqvkrF6zLsecN2UJgcxbXcpk/qKq5W64FZOaQZeCycpFWGmln2YOhz2U4XW8AXt
WONIUHeTLbDzqZSxq/m/tO/mFYq4i9WWTD8ckngIRteYH5LaXQ6AXHuPtPYXmHlYOw4yY2enZh9p
7PdiMb5kSyLOU28tl3rpjmxO9h7ot54XHXuuhltdFJl71oAEfB52cY4HYOI04ax5RxfpJsHjtVGy
IY+4Uog3zRt4iDhCNIAuIcbQHkIt3zfdubu3pI1vletAS28khjSmdhSq9l4l5k7UTsw+t/C7ws6n
RV2UNTvJUiTx1flKwiuCHNPxy+vHa/dVcsNZvEYwELeZZGdPYO0SG7skEupTMve0FqRzSAVd86kX
XX/epYueAYpXVKBkXC+PFmOGZOocAIVp5A3nrMsW6HBq8gk/juzC+BOl+Flq/dkQS3aex6GDt+VU
B0nftmm9/goQjUzluPg2aJoIwcu4XB/W9Ho9Pmd6hLNCgwr0RWbtnAYidovSl0pkY0RQeu1wV1UF
jV0hIK4w8SsKRB/K4d5DF+atFNX1p3FNkBtSlW3K2FbGmLvoC58cnbKH0W4QVIVf8r5Iq59jhNkR
8iH9XzI3loObY28DEBroByB444C6efll9Mi1FcPDSmxSpf3o4Lj+jYJOO72+zTY5HI/HLQ+8nTEs
eIab789MXi9FXRShkzrxr2KY4u+e0s8+Q675LmlT1GcmcURy3TtGPBIhHezY2sl7+Wi/kURuT5Jv
FZb6WGhzUfuR5/SmX3St/vP1J9yLFmsiDEAC6YgNmdVuMUNQCxbjx1QxXd6xvgPvHy1+1Cbm3dyJ
5GlqVFT7naY7qHrXB7k5XR46Bxi40Jhg8LQ28P+4I5M6j+lNEA9toZkfMSj4R0y59y+IxGSALyaP
/Od29syL9W6+JhaeukTcAMXGXMN7o9T7+ae36Eem0bvLMKSEEUFKszGMAxdR4GWNEoZaVcqj0gjQ
IJ55kMnsJcIQddHsprGDyewtNJavqSaWCZpTJrqUVzOJrfgEa9U+2WluayfFtrFxscrB1v2k7VvE
xcCE5acC2OVRq35nx/JbSOBAxAOKuN2xqiNagh85Y1MVfxmWgEzlDnagA2d6+20NwoNJMDEZcMRt
o0SNzNbIeurtYSiqr33l9j7jGc/y89n+D5nB+hGp68EXbkGrssDQYsgxy3Nre/lUO8J6TrI6OjmT
dK6vn8ItQBY8yVqyraT29eTfFPagIUrFRrU1tLDKwf1s1nG/EXX1s1Wb+t2UadFFy7vmboqBkp7h
x0s06MtB84H0Hum0733NVTbWYyKCwPIt/Xru2tpVNJJkiOfxt6GdtQAR5zbM83g+v/7cry8Fov5l
BKhge0lcXwXueRG2c8PQnJykKZ4UA2Gv15faCeW01zDPWo2tEBW7iaroHaVKtybkidCqwHYS4zol
WXrvTb24axgQXeckPhjrbiMBSH2mw+xXCriNguukp02flW0RJlMEEDWKrc/UjepRa3QbR1dCAHX4
/+Xltw0vI4mRLveyIpTSnc9pnBqP3aiUp0gp7Xdp1x3NB/fWQzgKWBmhZ8sh0kVTGYu2FGGa1Jrf
1Vr0qI+JeNINafuTDn7o9U+39xpB4tNJYQoApuxml5T25PVdI4sQPznn06DgeNyrWnOwynYvgpVj
/s4cHsvcTdhOTWp52yW0jKT+GDE20UXgl/loqOKgSbO9c1mJAhSur0Z1c1sHCLOrvTmpi5ARRP1r
8QCPBU6vWnduNNGUioW4t6x5+pq64OYPjsHeu2RNaACMrtbx/MsT183pbGCSBhIfdNl9N03au3Sq
3YN3ubdD/ljlVlXIjJKkmPWSHWn16vtYn8WlTub5YmvDD2U5lAXZWw6Y+TrDJSME6fryobKBxJx+
Hx3fue6DEjvszGeOHz+k9tDdASA+0uXY+4KrgiYEAoQyNtg8uzM0RL2psVqtmXw7cYzv7qJ4V4OD
/kmJGapUncx+wG/1juLY1pyP+RT933X/rEX/7XB+Alg8UFAVISZhfRvUDhmU30OK1AI5JeXnuhEa
UVT1rooRDaGYBuVdsyzg+cDEfyOfs/829FxAnp6KDCVJLZIH+3uLgl1/IuAazBywFmYS+/J7uLqw
wDeb8LBKy/oYiwppYmTQPy92Id9BnVuumLDB5ctBVjSFq/q0ro0glp37iDJfcrAZf+/pl3km7eR1
ogPUEFLnbRVnqVks016WIXa0NWR3u4jaIBOGGWLSDot8SCw8d8GAF/NFGau6OrlofBV+qhm5G1Qi
N7FWjVrbxaM1hoAXa32Svs+ytnOCHnVI6TvFUtanNHGVOJj6Vj+SnFlP5e0TkOVR6xIStgapSeMm
VerZRehR+51NmkiXYZyTwBnc9lGP8vrOw9HCn+uxvDrI4xykJzvn67emHfksEIZNRQIXyYM2qpeh
K1vleVRlf9Gs3Lpr8bsL6AlFR19sW3dzmBGZAK1JON50SjhcShnH4FyazFOhbLdu0FjGNxN6fxNY
87KAFqsxqA6MupJPTWMVXzF9OlJm2Lx1/PI4ZeiwAcBFfGqNpX/UJ1VpQ5cF23MPoeZ705rFe4Hw
q1+mlnVt67Z4NpZ2+e6qEKvjHDn612+9TcJicaevpDuuWVret7MXHswGMTHZ955SJeeqi93nHquc
RyCu06XQYXrQPI0Oroff0ePFTgPbvGK2uaAcF6TKTU2GvvfiZmrm3XsmlhfvoO53TdCNwhQPpoWw
PgMvN0TWYUh9u3Wb93KoVduHvJslJzGY8TO9PFW5RmiEVz6qWfGnks37pNoTOCyzWx7IHvSj+mOz
P/nR+BPC2KazC7LwJv7TqJ6mvILcL5vkWwbO9s50YnHpIK3jLGc2B1nrznLkxasaLCAblHnXP/9j
X4CN7qIE3si9vZTTx8jpuqBoDGiQc6z8dJv281s3AkpTq2cfcyvmtbcbwcVBTprQYO6RmDd6ujrR
8I4B9Xclj8z3hUC6Qqvw0Hh90U02BDAB+g3Ul1VHAOTry2ecirqR1EbefRbn871rNm5gzmI+j6P7
5rYoS9GmY6KJHAnA+pvXKYdqiqNuYsvZVd+dXDBZ8dWc1eif1x9p+9ngokDzoWFF4ajdtoykxWmi
V+XAss9drC/h2ztDjGfskiIaWjdHnkbb8PHbalEHukb42LDfex054kLv3HsL2ZAPnqj6a2Op5TXG
QzVEqUT6ilNVT0gq9wHaJ0ft8238ACtMsQNDmL42++flF2zM3IP2rDn3haFGz23U5j+A2QysapXW
X1WccCl7TnOEFt9uHJYFDgWmhQRpk6wPWE/HAjbKfeIoyx2guiGQWuZdVFRZDoLVzgfVMAKi7gEy
sbKUXz5hXMTYVRgS/5FG/RJZg34/pqpzgZVYnmQ95V/fvH9WDARkJvBenPybrKaCXI71nc6RsNux
8NVJdj9GV6RPU1WI9/04jwd51M7zsRzNMfS6oBTdprUzbqxgUlnQHUv3k9KgsJSJSvvuaAPTHa39
9/Xn29kwiBkw7WfT7DDhBmDP1Kqadx+tFd2IJv7TLAbt2VAcHJ49bbhfVCQxXl90k0njOEjmTu+R
kEpSe/NSBwp1x11a777H3ji+iwF81r5XJA7gWi11xD1iPcpfVl5qf1dF2x8Rtjbl0Lr8KoixaoQR
hm6WT6p8GG3kPe5bHvoyu4a4RjzkQddqbxX+dYSVucc5jOuH/uPCcDPDGHCl9e6btjG/Na4D7CuN
39x3REmHNq6GwNuKsbltpxZxhye2ItFbSzH96ZROPw+1OMqmd873i1Vu3pgLHiSmz5+EYKS7c+PV
1qmKDHwzUuPoWt95bTT2V1k+9IGAPa9//sdriyu2vRkr2DL0S3PShlm/NwY3Or2+A3dX4dO4TC/o
f9+OkiaMTEaFjJ75bLHca5MY0VRY3gzf5uMwrULPkAJkJVq9fBYt1rSiafs0NLLy69JH+V3RamnQ
OPZ4lDxvlbdYi3YQVx0yX1uDNKx9R31KYY51o+s8O1UTf5eGYj9rCzpW/mCIBBeNMjUnf6wQ58JW
0tXzr6iIDu9FJAc7rOYkuTelOaZXMed955s0JZ8TJc/+FXrs1j5HeiqD1p1K8ZjaOppbCGSpv1TM
vQe/0xL9o9PjiBiUtPUA2GfSfEzcIp99JJ4y2xektHDZlFQ9O32ypIHXp1K/5Frf6J9JygvVx11+
kXi1ew6JZl6o2alqAEsH8F+Ydc1oQb+3F1GiOVcrTn5WRpObzRs09x/TFWp9yiE1ZL5oJ/O9i1lT
53fx4i1+gqX1/ESSaz1YHTqIlMyu+ncFZfzfJDGcD3oi4ugEWMxLfFtq9f/MNi8/5rnXLHcl0f8Z
SHFUnUbbGWtfHRRhBLLymm+ZUlZ/dXIovGC0VomTXNbRCBHAST4LN1qWU29a9dmI3HG4RsNkPzZS
mfqwGtI2R84zMr5nvZt2tOqNFbOToIA3DsYU+3a2KMgBaWnzrpggewejUMRfaYQO37VEDXbynU5r
vQv0QMx+XU9BkDWHemH5pTm1ajDoVvMMzFNrTtHU63Vg5kVj3i9dXPyzwIT5VtWW0wBET2KaAeky
NL7V9a7t2yKRCm4rrjMEWcV/qK1Z9TPML0Wcmqj25MkmbVP5SLZCB6LnAn6aW0CkzIpm48EpnKl9
VPRi7j50saH+r6wWzQhEo2m2L5tmad7rkRB3mV3NBSratqr4YF1a1LnyWAbjIqIsaLpyZvu5U/Vh
cabR8S0MxtqrouvNvwuSh8l9y5J8Cr2whG+lbua9t7NaV5+ltGnNUJh074i1PaZrY1FP/uTkzt/K
xJjf9zJZZB+jOEmrg6noNqQQrxg8Q+ZZueu3ZMrIBRNlikW9X02Ufsg46r9yq8i3Bq7Vg4M8i74o
kmYbfc06WRSG4IBGy84UT1k+u385qXUksrB5lnUVYheZHCMelNpeBq5CCiVyFFuEktALUqYdQtA8
+UGHYbPKGrKIwRRvMIZghL5cxU4bTZ11Jw3nPh4fNKOLIAuX/4+z89yNG0nb9hERYA5/yQ5SS7Js
OY7/EPbaw2Is5nT070V/wAeLTTShwQwWg51dV1exwhPuUO+k1FtvF6BeUg2d0PTK0Gji3RrrFHXb
uBvigzZkM517zHVrrIZ24pqtoagYULCBCs7XWU0IbHcM9wn1Q2VWSr8jVwNWEqdn8sZmh/CxMRRB
KShDalsbnQ1Vb+RgJfhnhEmLzgayq6eysqNHo+29PazR8rVflwdI0IiZEBdBM+pKYa61bOC0VRRd
aHZ0R3tS06MlreyHkkfZ4wAc/M2QYaIlqtWLhOSfntQqD80KYirZFyFGjc14yJsCBj0X006k/SeU
WM2LhJ5gEwYLvlPrz9WK2slgzRChEXseMgRSAq+GxOoONfXdQTf/h15ZemcjhXzI7Ug+9NX0k8OZ
HaLZLu6GUu+Ctn47g5+IgY4VXHMw0+RTq8NHTykzxBy5941doloQeeKfTEc2q3Vc+d2cbOtMBLuH
rdnYTwy6SE0uiIkr4GrIFT5nReLed1SZD3j9Vqd+joAFdIqzc1FebyeK2EsjhDI6HdZ1hQ0PoxpH
iVK/19DGxz8iGsP4C7ZUxt1QiCb+IYewfPNpYTvRladXQLuV2t7rmyYqTMzZm167j8fBPdR1jG6X
3ljHpKj2LmgYR+vjwiAkU/y1TPIKP1J2+Ea4FT2lxOzd6ghxzj7pahTaQSsmkfnTWDr/pgWc1FOa
Qbf3VTN33JMhwzIJbLpdn3XaedGB4l8cHsYhyjskkdyRd1Y60k8NvakOooPNCSFH6s9xnGgj9DJJ
hKdng5melGaw3ns1vKtzVkzt96yym99akuZfLG+K9DMWWdK7V/FkSR8NriwzwPXH5EH1Rv2X3dZW
c3KbbPjmSHjtd6WVN84xpBL4T4H4Tnw23KyZT62RZeggDD3dwFpazj1ZVVaeNC+Z3IPd24b6oHQN
oUrkwHs5WGYWe4GqDIimd8h5hUfMUoAK4zOff889fZRHXeQVljx4OFiH2FVa3a/xL/3YwEpEzbV1
gTOMQ+JogQw7igvT4jgbSKevhU9YJUNf8WxkN80sSrV/RnxKZVBWDRpXEeorP624jsOAKCD9H4bu
hol3kud9U0q3jt55UZE9NJoX1ueaSEfib2834tRNZvszzbUwO3XW2L5oaYmvTSFjbF4KY5wyXxqd
8TjM8zA/GCUCx09eqrh9EILn+mYNsU0cK5wsC3IvnR+EOg3ZwUVdtg16tYbCaXah/NVCy0mCEloy
SNE4TJVDphrlo+tlaR8U6jiZfjJGxu85y/PvadsaD/ZEmnTUM6wefcdJououSRv1Du6B2vodZkdA
BArll27Hse9qtfV9GjzlLu317GdXN9W3usC/0Bf9C94NiCjG5l0WGt7HKTWm5NhExKfH5TYc4Onm
SeGLOel/89Grp8ToZu29ms22fXT1vss+zAVdllNfYYV2qHRl+tTHIworedb350Uv3ziaYd5alGZi
79mtJ6U6NCwMPRR7blGF0RNxX3RIswSEPOX3LEsZFpUIqz013qymd44dmr/lWGL1RdaI80EviHzQ
NZnzDxHSYeGpUqMS0+DW7OJD0XQRW0BVxnryB21sXkKkQRYKpDSqRzUicfDborGcw6CGBjrWSQyx
f5yV9s7us9m7ozXhpfcjPJjnShEmp8EeXrDE8p4aZCM+ToLe5l0ZtVmMIIedfaYHl018TTOqj1Xr
utG5cYzme0QfFtfRArXlH5E+D9oh9yqNzCOdrOosYk9+yuOmTv25raQIhOaWw8Et+/xujLWyPnAJ
6y+tJqz5HdZHzT+1tL2fTiGk8gApVm0fhIhIL5Qolg+DsIWLiTHGcMB/jUzz085tn+vUyMZzUw62
cp7gioigQfP9s51gBPjRaSKWUk/Y4ZxPLvlnSQjRftRG8pEPs44Uf9Bl5La4pZQ6kPq5/RoK+h1n
E4r8p1LW1Z46yFUliphzQRPRqgN+cxUNujn+BDE+PpemioMxHLOjjtjVMYsxBIN8bR976Z5uVwE2
h+Q2gWAGfJb7+vWz4Eh6g2AYgNnnw3DCYTw/lvD8D9Qn6ntndpDLMZNpJ1W/inqXeYIuBAQH7Ocq
6ihKaQ1zSJ8UgZDwS6en5geSuz33oqv3/M8oC0sJrUjKe6sXr9eMGIYXenDZWOUBzVAtsCuleulM
2Z9vr+JVNe/PUBRYkeChabCu2JDuUAd3kNZbnBdjf+jKOsjqFOhipCih3zqCu2qS2SlFYebb7bE3
v+CflhV9caofy2L/VS2SMWW8pgNCVafCCZqydaivm+Mxc1pE6Mc4VVCYlur326NuLC7YRTqUi7QM
Sler+DRHhFKTAwBYpYzdxwyuoF85SvIdw5+9gv7WUPRI+ICLICxRzOsJCsVti3FZ3Hk20wBHjOas
GXmBan6uvLVgSRkYOhssQWLO65aT4YaNOWaor+mF9hwT+T7UlT7vBN1XwR/BEXCe5dB5GtCbVYpk
x2CSi9bAcEN3EIKI1KQ/uha9mLgqTN8jlfff+q0oMCPKo9GOIcZff6tBFRBu2yK9RAk7olVU4yHN
zTmIRFjvLODG3JZcmcUjtIWptNqMOHgoEtni9JJHVX5XpUV6rLO2PVdSLYPITHf7tsZ1pLkYQtNC
WzgTwJVfbw7QFZbdxkN6Mds4mw6VgskEhD0j+5AryVz/1rWU2EgY+kBbNhXT+2Icow+9mDTNnybk
mICKjs5d5yxktdvLfn3LcYVD1uJsevDu1pdCaIq8F2YEwyJzESOftfADXq3dy38ZBYQ8H9iif7Fa
AM+oKYekLkXPTi8PSlSJd0Qs/a/bo2yewQW3BdQOIvKajWW1EN14PZD9bUQYpGUY+VYWiU9tN9Y7
sP+toVA65yKlpA81eLWFQvjuIXRtdH/QoX2axsz6gGkKHq8t3ofxztG4/kY8tmAUaYwCvKBqsdo+
Ku4k0YBWim6nKP8YyNwYWr1HTdmYEu+PtZBXAWJfERkmO50lVXwEYTLle9oU+WFUcv1edmLY2Q3X
I2m0y6knQUSBuLou6vddZXVlIfDwsiQ6BdX0K3Pwji5iIz2+eUegSwVOn/eb9tW6O28mw9z0AmEq
Iwtbvy+o0MJlU3yowHuwmKuG8rK5mQzFuEXxdJ0t4zaBtGSFVKUn1e4u6mrnH89C5hQ/XPerlLb9
mSn392UcOaWvAEPbydaviSjLDwCwSK2OhvaVilrfo24oS16gqXWq8ZwXse2hGKB65dEpQ3zSDPp0
zoc69EpkYUotPbQe3YagKELnc56lLkISrbAdP9IU682Kzfw4eivgdbgAFr+d11t49BrPaCwKlWaU
aJdyts0zBXnlLEdS0dvffCvUoDyi05TVCXLW37zKu4mwjg9hYwdzcnMte2cXCM4PAxAQX4R0AWSD
4OPtUbc+P4BRkCdLv5Qr6PUE28S2JP1YaECKYh3rKeQmR331jCmXdUb2bfis0eJA/1WcNTHvRFfX
DxohHSL+lMiAGV9d4o4xZDjzEudUiiU/a7qu+FGitH6YG2nqS02oO3WarTWGZQi3C/gJ9b9lNf4K
59RBqKHSwm8YLSv80otICSqbLZa2Q/7Ulcm81D329Fmvrw1m+f8HJaB7PShSwVyRCcoPcy3l2erq
7GGoMv1QVo628zU3blwgD8Ajl4sXDvEq+gEDXHUuzN5LP+oUQ6jtPqthuveILH/Kq7omh4KCEMI8
ixj0FVTJEBjy2WgxX2iQ6S9lQm246VGQwdXa1Hw55vY5EcM3RWv2+gYbuxWxU3A2vJJAZK8Sqgok
ZTVN0aVK9f5nhAYkhl9jrdHX18Hr+hM4+OpDWTjO/4ypUOuHbOyTPSrVxiIjkgCQDpj6ghJZPWta
b1RQpwvMt1Ibs0ZNRCdTkXu8x41RoKIswCIuIDTcVrumneVIpEutP0n69sEbRmEFTlK6e7tzcxzK
iCqLZV2nxSAyxtZW8wi2dKxdXDuLnjMYgTtJ6caWAfCIWQ41fsTX1htTc1NbH/LFj6rLi4Aerefn
gzZTM6r0d26Z6IHoVUDdIMfeHvGQHdp/GDdAMdaPtm4JtY97OvFxhMipaSnhUVvonV00i53bZWMp
KclyNhY9R/D+q2gRwb1B5/JGJAvhgvf14Gg/IMclO6Ns3GFUMfiJDPWHnP36OplRSuuULowu0rVF
f9SqSP9tpbbX+PmYIYkLYaUc72VErrOTW21cZP+PjUWfC4jUGiSeFX0tXR2URjtQLfPQHD7E01we
Rhz/7m8/S5tDYf7DtoTDfxVqDVoTZ+DYkKYqY3mpyR8KMIpRfFLCQv8P0+JBWJpqwL6u6ukpFu2u
ETrRxSqjLvR5k+y7CQ4qbeW4wIvu7TOj6UI6BQYZ0vuyif56goba8molbjD6rHjcncql8V+F1sGN
lT2p5q39uCSlYPUWe711jQblptbN9JlcuAijJ8qL01kxhn9vz+eaM4geLUBmIhZANTSPVhOSXm0N
NlHbheyoPCZGWn8YyjQPinowjkisVgd6vd45ThT7GMaDdR6L6c1AGH7DIoyAAR3WQFcSNiJ2ukQN
icwHFeXfzKi0szGo2qGKmmlnt2wtKqd7UfXTeADW98mgxJ6aFDnfLxPtnTsm03lM3XiH5LW5qvCQ
QY/Ry0KfanX9U1CkAwqD4KKWmn4QEktJiZG270CDDzq1yw4DVhaBTObIx8c+/1CF5pvJS8uqwgYB
bL+oA60funia+ixS0aW2UylPMQUQAJdy8AG9ZDurunXeyeO5O+HDA7xevalCsfqya+roAnC1/tF0
k+PX41h/n/B/PtzesJtDwfIGMkdudRW9VA5+tBYc8wuk++SoVzR/jTGGBx0bb4atoq6yCN0xM8LN
q3ClgF9veJmGVYfX1R8BzjhfFosxCN62sHeS041YeoFTMBw99GtvOIXT7ZgFki5K1vYnbAk6f14o
2CgrK2e1KN2fb15GxmO4Pxi0q2OvKlhV6yqaOZhp5Ti0uXr7aJCOvQeuFe7sjo0nD/GYZagFOH5F
0O1N9KlGe6E80iZPDijnNgcUErwC4YQ0578w0+SstrPz8fYcN6IWZPR4EcDDQFxd179USxplmZGf
zLqcj7VextxvavaMHbSKwmvS0Jjq1Ociy/c0uTY2KYVMfBkhrCyVmtV5GPNc4ZRYSCC0w3iwIiEO
TT9nxzEX7X+4atijFvBqTjnZw+qqaeypouEvJNRyYVa+E9vjsdS18ZQUtg1738DCorOlc9EVgFcH
OVad/VB5Rvf1zau9hIaUUymoXj9XpWLFUaYr6cULu/pJ4O8aUHuj15uGv1M9bj6ptpgO4wjL7PbA
G1c6A+P4Qk4DuPzqBUtnYyptsiaR694TVHHzqS2T+Hh7lK1PSuWW+xSpTdQTl03+18NfRFnFG0X1
Vqcx80lTu+GkR9OipQHq8fZQmxP6a6hVGmgpZe+MtB+xzyrtg6fN2cFRu73K0cbpIG0H4ErlAODD
H07hXxMC4SrKZkmm02HIf0DbjT7r0HfOJTHHvZkUCLe3mlXQt7W74vPtGW7cdq/GXp0P3Zj6WiW1
vZhpXhyR5XJoP1E85fbQ/Ji13dki11z6ha9PeYbizBLar99CWSXN1CiISgH8jAQggii7T9rU/Urx
KiWE65Cz8hsgPwd1CiNm7mXGoxXJ+cmyzfw/vGHEH3S+KEmDCFxXVhNz5usrHrrN06LUh3da/GSD
ZSh90xi6T29fayjucNwNhFtR8Hq9cSkEjoYHrAFdofJ7QY/tJJIQ7Q5szQ8YE7wZKcRKo1SyvCtc
9Vf9Sw8FI9CpOBRqsVdehGmiBeqYykFEtrVTe9zawWSkRI0k2EiZrneRqMJBGD1l1hp0BXDRUHwY
FDnfqaID8jI4ES2MOrbD8QDSKH37Hib6WIquXAvXMQ94hGm0SnSv1Hi2gepUv9UJqRtLL7sPCc6y
O1t44/5BkAUdY95Q7qD1k6INqDRnII8vfd2371GNMv+toqH6p+yVbu9G3RxrYZZSUMb+bR3OuRbd
oA4z5EvrWONjEdrWPQ4B1n1nQa+8vTu3hoLrQUBu0QC4eimLEG96Q+NaFW0v3s3KMJ/sKO8/JUql
n28PtXGtEuNyc8NComK+rj6lWN2pMqRPk41W8n4EGHwH4OM/fCfCUlZOhzm18Z1Cms6Vqy49p0r8
MzVtFbQAdp76rjF2JqRvHAAafDy3pDNQYtZHW0FCLglRebjgA+oogJdLpz7KgavkNAKxiQOjzpMu
gGsGzkovHPtniEVYhvOwoX5v525ISU3kBF7T0tJPTY72ZSDawc6OudI3nl9nEf/cWpMFnXMgEEZs
3UXUqkM77DjqeNQGnvCUGIl8wYaPZG78rkQ9JCfVCpvORzQd5M7tr7ixYWisLLE/JChkLVeHHjRX
5405RIbURA4URtd09BCcfBbN8P72SFura5Do01bHK4l/en1xKm4aNnWFVZLV6HEA1lo9u6Odntvc
koGT5nlgdNHoq40ZHm+PvPE8AhPmo9LXXziQqzl2TluHuY5Jgtkn+TFhPfwqTYdz0katnxdqvzPT
jZMBwpV2u8mLdI05odc9CUWCge5sMzpKGc7fQNZ7O+H41pdbZK1BnWDzcQ2L0IWYwTDGlxDd/vuk
14cXZUCYzFDLvch/ayiwz5hMgCAlz19/OuqEVhSpFBRqWx6qGEsmOCKZn0LW3/lWS9y3qqbTVVxQ
8PCseMyXtf0rjFImSPeqHqJ0bybKcLZbo/qmY96VBZijx6d8TPIP0EzLPRnvzSkubW2qJgT/6952
NWjOHCUu4wqAgfClxn/ycHzXhU71cns3bo7EqwMsiQjiqo5AXxZArIVTnKNECUpzkRmgNmoGkyb3
guytjb9sQWrZVCyuHrl2+NP+mGK0f6Y8sOHK/sjCTA0sL5oenYoCyu2p6cbG11tcCijTOICT1i9d
0c422E4UgDBHsL7RdNC/ViBnP6igWr9aZS4+jVmV4vvh1KL3Iz3U/5VgJz66EGvUQO0cZQqId7Ly
4PRVcY8WQTfhRCtQjInavD11idP/wMnbLWl7ViM0p9Gq8kOtSwvr2sJsd27HjQ4LHH0mgp4R/7Eu
T/JW9CaKMcml6NyeRreS/yrJe39KJ6n7wJxNl/pPrY+HmQ7RZ2Nwm3nnUdq6S5ABWspOC3N0fR4a
yx2dukKzeZ4t+dWwQZbJNBp3sDRbpw7U02KbSC//ircNSajtrQXZodRTAVAxbs5jnH/2vBF/Hn2s
A8+L9bvbm2XrHFB0XXDidLCuEu2ZzLMJTcAXvaP8hHKkPZVpIu5wIO92CiZbxwCBXxrqUA+upT3m
iAIFARfomFlVvruKqf0wMEGL0DWb5eOAK+7O1Jb7cH2JecBx/gAOYQiuLjHh9QVPIFAPR9TlM0di
CrxYaQ+l4pq+Wg7tF6NRpmOWsXdvL+r1hzQoZkG0BPK/AYpqDIgqUnJTt96QYYpaDoCm3fHoVuix
jF2HyEeOI8LtQa+ny6Dk8dAhUXK7eonmiggmSSJ2T9gWd7pi/hzs1AyyGYc7RWTWcxNK66B7/dtl
O2kuodCHFe+C2bh6LdzJMup46HjZMT76RsM1s/whxozIp9YYH6Ekw3dOagzD2tZTBu4dy/sSNo18
VxXToPsNIaweNH0m9q7ea4Ge5acBImFhjA1IFqZluk5SSD5jJc4XsBw44lpNBsfA0vrit2YX0oJd
oCTPzdQWP/MIx9Cz2erGPymg0Rn3Bzvfsxy5vkz4TejbwPchq7wizWlylErWEUyredfeGT3ypnYN
J/H2drg+2JQVQG8Rm2yJMzpFQutbEm55YW5deiV1RVBmsaL7nenle1bTW5uPFA5EHsWIRXXrdcDQ
aXns4hlBACti5SHPLNX31Gw8kkxi+qEa06mLpPlgIu9z/A/zJJkCn4xwKWnz65GhncB87IBagUmB
DtCDnK4rnjEFy4+dJd2a5KKnDeURdN9VvaUymiSHSUmsF4n8XkAAiYMi9BTz4GZKMQIvDN0vVdiU
D8mMZOvOK3h9f9J6IVxB1W/B46zj5yiJ7MTkC14qY2qCKYvTD07kCH+WQ3I29VTsvHnO1i1GV5Xq
NuIo1yYWQJ6muJLQ7JveSJ5ivR0kHOCyaCFa1Mi/tzxONR8XZkUwSxdyakbH8oeTeo17dNxulPdQ
NKb6ZTFFNx5xZII9K4Z4eNcbc+t+7eMBcwVqZkn+NDu65FbsQNkcyO8szKnsdAzP7TzEqd9gROId
hNloyWnEjsg45j0YV6Rcw6LxKVV0BqSCvnoa7D5p/XoObVS/dC18yHEnEIF0Z/sr3Wg38lVRFQtd
RppPYdkJNQAX25eQ+lv5kjkxqqLDqBjyiP5SHh/rGX6E72Q1NbOId7H3RzPrFxCSgc5YT+NPYdKx
hHQDiH72+24yRnSb7P6nBepWPwzW6NDhrPuMQx67kxMUzazIQLfaxZ23UYrhMKtNCytj7FPbL2er
1w9ZE9ruSe9igfcLFkgj51eY5UVJ8rE7dYjhV3fEccbnvCjV7imH7lEeqrFX36t0+GO/C+1eHOZ2
0IyX26dtYxOSFqDeuZQB2BPLnvkrMRjLqLD1kjc1LSvgEvRagqkazHcJv/uXHTn9p9vjbexBTBCs
pcTp6cgxrMBRuSbnVqni5JJJbE0D03vMUbTM/FCNjF99oTYvee+WOy/p1tW5SJMugm50qtft1A4B
C55nMAVTEhkHalfRUSEGPldD2+5ECptDIWMBgxIewXVuQEe+iu0MTIE35ydu6TpAVCZ8aKS6s5Ib
Xw7xGJIQhBmWl2F5lf76chYM/TmPMWwGxGgZflfbyQuZln1uR7f9aVXqHop/+QNfh1+ojVAOppBJ
KecqsmyduQcYVcF0zp3C8pUwqrJjqHBf7FzLWzODe04hfCFxXoliqXZn0ysx48usJnUw0HM+dFrV
+pQdezKYaU8tbeub0X+Dy0KRm9hi+T1/reSIf7oYXRuFC3Uuz8NYVweZ9s1LRwP3Pzxu0LeBMtDX
BB69EimLeE17Fduxi612/UOEBvpFK43mOE22+R92IlkASQ4mPzROlln/NatiAkqZJSOrWBTmUWlS
068iUR+FCWXh9qHeWsCl0kX/1V5KDKtZtbY9GqJELXrKR7QGlWFM7tBKC0OSTNTcbw+2cYPAuUVi
jxrQH9Wt1/OKTfy7chVzhdRw08CYPbfzgS13PjIU5blFJfsddYw98Md1ykrPkJoQXsJAOnFdeD1q
mUlkVVXioXw045+0papjamqV69fWOGNePBoh/RgbqhU0V8/+HOF/tRv8XpNywWTxf0clma4F+pSv
f4Sj1rw7vJ8XWGYOJamiUt4p3oDUaimq7BGxGTd/iSAs14j7g84PNCUvP+eqmhNfxIjS7HyKjYMK
Kp4MBfAPRfh1t3HUcr23Y4lK+ChR+0Nh0q8TqfuWqNOj3YZ7fIyNBtliCwGtnE1G7UVdLYDHywQO
j5BJ6Inut5M33lUdXoxJKZxDalXpne3I8mTilHpM5zmh2NyFl9mdk50XZeMu1ImOoVMQG/P36odo
vaXGucuzmWRZd+eEVvzBy83wdHurb86XMjLNI9rmqCmuDlZNuxPlZwxSEnfBW7i5dzIrYQaYiVgP
Te8W945Xwt8nDwpqC/2UqAHIY1JgP9/+JRsnHAAWZTU6IPyU9XzR65PSQavhMk5jdEDOkMvESufA
1uO9atfmpIGssLx0QZae7+tdnjdxGOfQ7C5mWBm9r8rGtWC66vUvYsTyGQZl8lnGnXVniekRB8Ce
VK/Q7xvR7Mn8b1w1S5uQaXNXA1xf/v1fV+io2wQnc8msrUaBWyuy/oHuVvfe7uLuTDJef6HqgG34
7cXeGBYBA7hlPEdwOtflsahtqdBRUb3XitEOfTm7QgsMVExPNXSlIoDJjnxQU7rIN755ZPhzdAuX
2hh/1ir3Kp2osfs29e5Nq3VOelkU997gjGfFhKKboPWDuUyxp8u1cZaAzC62Kwsz5KoaaKA34oiC
QWN8HE5gZLKj3VPjuD21jR2M2xctGaoT1B7XlWgA6i59QpSjE6CrB6VKokNtGqcGCvXb74bFfHRh
WSHyd1WJjuZZAFXkQixBXfijUevv2yjRd0bZAO8hCcxsFjAiA60z9CbJrBZTFTReMSsbgqGtlJdE
w9k9GIYoVvy5K23zSQU5vzCiygrhWdHI6LGisJMc37y4fDpuKA+xCDbtat+gLRs6IU7zl5Bk8SRR
Lfg8pM5ibD/vSQtuzHthHYNK5gFYAoElqf/rUBL1ZmDeQHnbhTM/Fl44T7xzmvYTH/S5ChLNq9pj
Wc7hx3jRhgiKpOmfvbY2ft2e8/YPIVrkQYJdctXXdKte9B039AWNhhAzKRkHdQ10wadQFsJgbLRT
I8op0GPsufN41H09NO3ft3/F9bZmNVDq+MPYpGu1HK6/V6OSVln2pXLfqSX6zvwehKJcG9FhK985
QZsTZqNxQ/ACs+X012OVODeKPrKU+3QxKguMqEoMP5ZGiG4X6Ik7ZAX09iyFqiS+E2JQfsqtqL6g
gQyv8fa0Nx4JwI7Ml8IoxD80UV//Fobz0tayInpnjQC2LUv7Y4LO27s8Kvv/JYoR4+A0my9TVk+Y
tiNzfUyVxjT8YhZodN3+NdfB4esfs14YTSV5nmGM6IVavAjLQdFr0CbnsUrKIcgmzUVwCAqZ50bv
S3TB3n4VEAoBbOUEop+IuNHrxaia0uh6lO8uKHqjwGAS4f9BRv/EvIHQL0tL792Ed+oJLb9F4E7x
LqyFUuzcAtcX+QI1JxqCVugsXmuvf0Zishkju4suqeW0d7llT0owZ3HT7YxzHXbyZ5PGL7hFWivr
by9bxxPKoMEmMUfIXE4CLtOS3Wm2bOEjiqZ8uP15t87Y4idCadkzeZVXsb9AKW02vZHbLS+VQzOW
47me+w5PYsPb4V1sDbXw8gDPMD3y+9dLWLh9VLgDd0piKbEf0dQ7RO6MQF+BOMdO9L45FphMkIKL
f8sfMca/rg4nsYq8KNLo0iaigQwMKNJq1BFsmbXXbtscaqEHYDpOQKOvbqkiBUAwChu920wVHxCT
MT/n9tC/w+zL+3b7Y21twgUP7Sx4HZty/OsVbEKlmgs7gb1l9sPRLEPl5KRZvhOZu1vDLOwYoKQE
E9REXg9j5JElw2EK7724G+OTE5tq+zRBSo/et5bWfY3rNNOC3JnpPvdl1f6IYe4kZxT1ijQQ0pNW
wAMxxWD4vORTPo1Ncop6asV+1U7qr7Hm6fTLcJQN4kB1nOL70mbmuSaymA/9PFG5bIQd/RubSV36
vEW40GBlPyaBrDNc3dtGgeM4O1YsAkxl3X8LiPakBpY1vseeaAx9KkTZ+FyFku2soofZBoOnF+SM
Se04d5GrVmbQC2EXPKmZcUJzI6+Qtuvs+tC34+gdyfnTHi8GsERPqj67nxMtHfPHqfFahKpRxDxO
ZoLNYoNH1l3mFDn4EKcUyd2c2sZ3O8MMwA+LLgqP6djn89nJBqU5aq1EsbNUy8x9JNyf7qIIrc7F
J1i8MxQJJnoalO5L7WZ5eC+Muv5FeuuJo6KW6ZNetRUqS0OOcA50yLY7tmDI0X0KY9QhayQNpN+o
TfSRhAn9CRHhOes3OlZvflFoE+JRTU3dLFZM+YPaf5zsPBQb5wA00NI0VTWLCugqdglj2sE6+jf3
iTlkD7zr1uxnEZCPmWqz2Dnf190NcuHFGIanGtkNb/kxf53vsK6lERV1fPHsKD7STxh99MLnQz6r
7RGFgUORZ2gJOmJv4Ov8BeQMFYillmZBoFy9A50uO6N2XHEx1TT9kuC88HXQhgQddt1t78c85S1u
y8jeme/GK4wbm0WRZtFjh6rzer6uIcKuSk2qvEI2zy6Lcofq/PNguvND4pn/o62pnOuxpxAvu2rn
4t5gmFPOo7wMMQhYAbogr0f3rFkz87aLL8iIFh76Wn15xpeJulTXwkFsarOXF9Qh9cZHkCT/Ds6o
e98ZHskkcq2pP2q1cY5FN9zdvg83thyViqXR5PJ+XQGonTzK57hWQU1JXDR5Oskfk248jDTFdnb3
1nfH1ZBLlyyAZ2W14WLk1/Q5qQVKRLENpXTugszLf6tGJP2k87wjPeO9zvzW9LiCTQ1GygJvWj2Y
IpnybHAhKsLc109cINp9iCjZY6Joe4LfW0MhJ0oSSXa+aCa8/sJpC/yMAIttrdFutej9HPpa609j
Wkzn2x9tI8IhH6aTvMiXLtYvr4cKB88FnGLyiCVTaPgy86LHoZN9S9s9ac8x1DB15/RsDEk7culH
Lr6UFIxfDxnh0oLjnhvhMlaKIx4D1if6T9HJE4iipdao7ByYjc2yNHlpXkDIui5tycQYqGAgkR17
Ok90N34s6kx+B5dtBzPXpG8N0/QfbibAyazsQpaCZrq6mTLg4I49euSOcdUFda/bz8pUkDyPTRag
u9wGY1m+2byRr6jZ1KrRsEIp3l4NaiNh6PY2Md1oSYQSI0qSThByIJz/8AmXaIQYlZwUGNzrT6hF
jUTpbVbuDUypfRoaIjAS6R4WHbmzjDPleHuXbsRAFMWh9CxIYurAq/HCNMwTpx2V+zqty++OW3SB
m1p7G2X5U163nRYmMpV3umlUxdbHTon7OXFSV7nPmkI/D1NXBHIu3KCRtfX2Y0eHcPFNZVOS0q9O
+DROXpd5DGXqkXwaFAgfueF9S5LKPeLtuafqtHXk/hrOW8WQCRhmm/4wubvwYl8ISztPRtEeLJHp
R9Bpe+X6rZUEjMbjaFH8d9bSTq0hmskJR+9+MufBR5hOXtAtNYOuV9r3t7fG1lAL+xiy86KDvy5O
TSU0Dg3hy/tmSpe5yPLOLEdWsYNNvjPUxljskAWARn/3ug7T1Jyt1BF4whV6cWcjNd4BKkiGe5fm
/dOohsR1Q1p76REb6+RXbXb14A+UngEqdRMn0jQmd75rCwM174zk2f6oxt7cfkK312yPJj4yaoA0
fVgdcjmr1ntM0/SzW6TW18Rs5RBYYHMeRFbYHx05W19RQyV2t+05M95RlHPCE8+8/FVmRo6oZu+2
TyG5UPTTJfCcfHgfOHvFI8CyYNQ1ER8cMOyqPyih6/mlCUTeR+a/dX82c9+qR1is0fcYs5LJz6xB
Ne/dulCHIIzV/luqJ0N3RgjH+kI9jkeKDAWVfEMgXmcqWpT6vdNMYA8mJ/k3p3RO5+j2x9iIOSlD
8NeSv/KQLN/qr5hztu3EjksUnYWe2g/ZkIaHSUNpfWkQkXyQNCuARH5nUHx3zu7GLqDoCnMIgj1S
M+trotEIoFScePHDsORp4H9xyERDvWeyxpf/4+w8mttG0jD8i1CFHK4ASAkKtiTH8QUle8bIubsR
fv0+8GlEssSa3ak97Y6a3ejwhTe8P8lLhbAdRkCIi5Im4+1v279mKXpNgDOztETDvO92JbeFIqZV
K/E1O1CrVy3k8ZqjMXftj3ZrvaJ9Mzy//yPO54uZC/h02hM2TZnTwl+DE6J0WiCJjeiDyAXGG6Wj
t322RLVdearP7/ldvGdv8iGuDFnq5FpsGrv1MpdW9Uxj6JboVrutq0H+fn9Cl0bxEWfyGeJClcXZ
wPD0LeE7po7GQ7fOdoKKrXkN82Wc37ooy6DMA/jE3QGyJ4GOWAa0iMBZgdbz5bMBxOW1UsvmRsjI
1SoCYk0JHWUM8ZFsVnzBXWC7WQtoscVmuK+QV4tf5TwGgJX1/POKjcDtzHb+8v5i/EFvvH31KLPS
ckKFj+D2rL5JuaY2/XbO7xCwnu46ajVrqMu8+a00P7slrUBo0IQa+LC2mSLvbbbPzVbNh77UvNhR
nn5UnnQ/qtzdkvd/2oWNR7cGaQ7aNfQ4nJPdkMutWPCFQUjdn9QNDoPjrZNib9O6Rh3/96FgDQD5
NcmXESp7e858zacNViOrIjSpx3ot8Vxoh/RQW9VVGbkL2w84OkwMnhGwnKcN/pawAEQc8WgG6ftV
UUJtwo4yY3WTWnJ+ddFf7CNJ8pqFg5PKj8BflApB+4hXl7KGeBAZ0heLPSkbSBjVnnjZAvNnD8QL
92UfskyIDOu2HPNMF5T2tG6owkFZ02fcG4tv/tjMeWjR5r1dzaWs4zJLjb300i0/Agcwbqw7Uj71
OxY7ttwNUfVJM1BFbZoFnTIjc3oH8pRuvQp6MJR/684ZQ8Ub8nuZu9wPBcL6Lg2JtRwiE++QlGp0
V3wa8i24ht+5sEN2SCUZNtVoWkL7//6v61Gj41VNOboqjV+oyFy29mAC235erO4adGffbCfHZG/C
44pAxwFrkJPNKIPasdKA9G9ryx+GtPKbTXNE5DfWGJv+pD8FsCFi3Oj1sGjFemV/nucw8AEpONDu
Q4yHBubbiRogDnxZUxgerUqPmzEQMTTkIcqCAGNheCHAGodr0jyXpmwR4e/urQgfnh6KbPaaSkMe
/G7RS/8w0n9JhDvtWDo5py9tmq6AUtImvcn7jrrCIEcgwu+fy0t36E5a2uNk+g3UQN9OHKmceQ1S
M0X1WlTsu6BuEtpAafB7xbnB+BVQaJKhovGRCFCTxS3mTjyKG2107TC2tvk0V6X/1dxa57c9dzNy
ip6ieL/N2jXkwqXlohkBdJ/a0IW6zGCD4vLGNGnczR9AToAnQ6S6IAbsKV65oSgK04O7sy3jbe9m
uf7FKCbbv7JkF64XsNTsVOAy4Kr1k5ChLXQyo2okPLGCNZpNt36yW9H/Z0oGCRLbEcbAzlQ9zchE
VXkTeu1asvaFPseOFuQvS4YiaNSt3Wge0dfuP7+/Fy48p2x+D3ISZJrzqkhWE2NWk0gTq8L1Mx61
3r2ZGrUGB3A6wSef5v6X90e8cL0AV2X/7+gbaFEnm28yUqDnU5YmIxfiQFB9EBb1gqWumiu1sz/1
2JPrhVgeRTFkTPdm08kD5FRDWhWr0JJ5cbVHOw9qLyQZ3fSo6JflJxtuwzgALBII5L5t1qQqjeLn
TO2mjbW2H1/R6LeGELZd8E/qoh8d2pprPDrV7DzhD7LM4WQMpRFthr4gfNlo+nQcldY6d6vZUzXz
Jiro/xgTei6Rmc0LMUDaZwFuBsv4IucCL1NzXVJgb5XZf3GKiaIqSVLeYKZCKnlQalBAEFIpftJu
QSrJXDT7szI2mktjH7RPGp3SJKCeRcIiNDt4ISrR7zEvM4zYVrbbPXJ9L+KZThUoa1+WzRanRg3u
W9nD9mwTcmuR3wYVNNym1cbbomrRsffbwchjzRxt7NVwVbwJoKPWz4T+AHrMbkUrYvSDxYnwCPBE
VEhTl7hf9/LjoIuxoXrq0TzNa/2LhEvySSLrNIZarqnHoh76DNEZruRoW0A3dk3gf7IsEiqA28r7
YIEF++obU+cDnEF0Oi46b7CPOV1TcO5buWxxu23LEDajotmFuWU2RoJ1UeGW4cgUDm2a+7Gfuz73
UZPWMsaOppQxbAi9RpBlCyCYLF0N78TMND30qr79C6YEvkxIqpZf39/s508Mnp9Q3H2Ybsinnubs
ahSOT+/PSXSKyQehmcX3GnXmo94oFCUXZzliT3At7rqQ4OxOo+x68jg4xadvTC5IZhxndJMVdTFU
kuzBRufK7laHniQA/9C1xuyferTwOqM66fNJzHxc63sIS9V0ZQnOz/vbH7Nfrf8KJ5Ah4uNoHuz+
qsniFjvCQ+cO5mHRrzrqXVhtMM7Qtalr0WI+JVp6bsPBmk07Mbg5I+D9+p10urzBvXILjhsH5VFY
qIu9/40vTBBcKUEMl8zeMNmv2H9NEGaeKGSjrERxbd6krj7ESBvAzZivKc1fGInEHKgA/2GWp/Kv
hXBRKS+xkJFgt+NBOOWL0HP9fpBO/v39SZ29C39U9QDqODuMjffhZFJomPXKzIKkN7WXjWW9M+bp
czAVaAhuVnbtUbg0HIY/bIa99HDW9jVauwOWVGJxikfNYcuFHRFMGFFQplZkN9s1+82zldw7a3tm
QtwJIvJU5BWnkNxJ9Q2MXuo1X1IlUvBVGhanfbtp1+QnzmKYfTAKdkgi8BqdFVoxCMycGsZ64lRF
kd624IicqG7N5jCY7iSjbR3w21O4c2Tcknn9cZJbe0XB6dICE+/9YUE6PLwn33MzaUdga+olPm3r
x2y1vfpGgTYdiO3r9r7nCr0SWfzR9nnz+jJtwhkLjX0yzrOUzOb2bgD2BEle+e50OxhTvcUWPTSI
wdAUFKAqPENao3DgwAWytWJDqPTvqZ3NRHgS8nLuV9mXvshn8A39VE1Q62txreZ1FtrxMynA0NYF
IUut/+T4av7G86NhBDsAY/xsotr8j6es/6xAvo+C9CFUMaCfRN1vz1NgwlbDZwO/13ZYfvTN6oKx
WunxZygkfXn/7F6a0U4TA9JH+eHsMHVWMKcb/YwEtZPlQEws74u+MOP3R7l0hBA6CeDb7DJDp0eI
6K5pSFbY1eVcRRVeODfUV/swDaipvj/UpQNEUg8uBNoKL+lJHOfOE46LANiTyWj1LPQcZX3vebef
pWzSbzWohBy7o2wkdE0XEHwubZP1SgZw6QAB1EN5bKfxM+m3H9DA1AqjrNVPVvCBux0oZQPIYJMq
KeS2mp5gRnpt3hc+JKU0Ti0pgb0rfr8dc0XUnNDcdBNSGj9u22a4tRD9T95f3T+Qy5ODSoZFnMLl
xIV42lazR8PXSh2ztwyCVT/F3TbN44H4ovzUICggDiWJrB8b0zAJrKNcJDzx3KrHJxRMgdBshdMN
EQ4omvNjxBjpSaYYoYRAxLMs0o1NrB8CZHHyD6mXd99F5wjtfpMIY0Vr4GV/K9tuiLG1djsitxtM
ke5gD2anGiZbEv8KzK4mw6qTfu7Sr6L1yr99WVWfcMG2/Bhln9W/NW18gqJ5HNQP3VvBmCz2PP+a
hd1dQ7df2PS7ADLQj13QgZrB2y+iz8r3qhnjMs8fxxtDz6Zjqyzt2ImqPb7/Wc6CGeohtOZ45VE1
5GE8Gaqt13x0NUy4V2LtCDBIEE52XsaQQrYbx2xImZARO7w/6Hnhch+ViiW9TvrxZygMSrhV7yCb
mCDRox3Jy1vSAfo3nzrDMO4KQsksaunpPS5qcD5uU9U8ahQ0Pgq3KhNXBXBIhG26PwLkePMr+dyF
4+Cw6ujVQOPn151cAzxczlb21AJMze1+pZqzPa/ZMvw/6046AUfFJCE+DZ5La/JEMfhBonVo1JUI
BHVRWuf2+OBBaJBJqU3dr6GsjGs+AhduOUKR/YEgIdjJ02/31mjWYz+WKk0AJtPqCUQQb0uQRqtb
toe57PQ7sdTBQRjZ8oJR739GwfLlKT8QXLLB7bP9hi/vWqGsHxBcOjLpRVBEWlk3t/Uoe9SsjPph
DBp5mORsHvvaMa90KS7NHkAe/ZiAkAxC5NvZr4Zb1sZQEAH6/vh1l3P46FidztJ7qPUZUxsPRj2F
JJBztHj6VXT0hfsdS0ies10Uhl+wn/x/RfHMd/XTtk4Te2fvIpc3tU+lX5dGLORmPi2bqbVkiOPw
T7nNORuv8v4anNy+B9ExG4gmb9ZyK2hk/khTmyCltYvsaYEd3V95iC5dQQGc853X/0cU6O0PXccK
g2tF6NoW4/BjMUsPsEC5kofPVjZfeeQvHDmwbpDb6TruOezJkfOyZdHGjDTABNVKp1Q4v91Fl3+9
f+tcWHvyJwACwHQp1pyufZsbta5pHQ9Qtbm3KG8ZX/JViKOe2poeieE/078g9tIP2xEdKO6eRf+V
JcZ+HvMgmas2vZkQEi8PXiPH5kpmeC53wUBgTC0T8BatiT82nf/aVJuJFEdaEri0hsA1ozZW16cG
Ia0feGpp3acgXdXPybQRx+UhEK9mXdg4uAQ2tWevLfq70usL9d830JsfZb7dQPh6ejhdDj5mmeN6
RCs+fTYxDD4MerpdCdzOKxH7AoBW4CUDDUVw8XaswWq9set1P1nsVN7MObinAnJu6HVBf9tw20QQ
LayQI1PgTLpQpJJtXV3ZxBdODBebTZV/r4rwsL39EX05bJXWT0T4PLePtqvBRxu79A7V3mtufpeG
2tlmdCjRIT4L81u5javTsLM6W2S/J6HkAaty8dVzu8/vn5kLJ5ONC1Z/J5BzY5+EB4ZDJa0AO5dM
zmQfmjTrXrYp9644I1w4mYyxAyLBLp+XhzefxqUzEvUiRbV91XNR3s74NT0VLHUWVYF0f74/rQvP
wE5B2nn+PIWUpN9+K1E2wsv01k+6CZhy6M1D8aNevHL5nhsNkCu7C/LXbazly1JD0Y0UGqrXDsil
XbuTYnH0QQgAXb6TH4FoszcN7ewlKH/OP+jNpTcj5sRT6CurLcOUFCAPIfO1Gw2JcbwHI7DdrT5W
J1fOzxkeg0RjLy3xHu9dqtPrd91StK+k7iRBTvkzk74VGs5cHUoDleOmr8XzKjctcpASuvIc/3lv
T5IC2BKc2V3fBIXAk0PjYbnjzdngJr7Xe9vBXib7OOCR6oemMi31gMhlP4YWYhC3XWCln3PhpZ/L
wNs+rFOVXjvCF4JhvGp2RDKXyE5ufLstUlKsvK5TJzGbccLoiO8TzhAfYhdZlKPRj/3Bb8bt9f3N
eOGMIZHooSQIMPicIM2FDkh+aNykke6PYRvae7gI+ZXKzIUrA0VpMM9worEcOu2BklbWELyZmiiw
uG/0ZUA3fJXrT/zq3OHw/owuDgZIg+4LAG+MVk7Wscx2h+2VenTZdEmLdMvdbhAbB9Ns//donQo0
OE1a2nu/5+STjXrjprW7OAlVHNAZTS+Oq+5UV07IxX1K0AqbnGcRkcKTqHnRG2tO19JJNnsZqoOv
tw3KP01dvqSDUYpo2IzyQRZdWUU4QuYfZA+0KWyXGUfkVm9QZP7vKwzde/cbpXt+1tIOvG6a6rVi
p5pdfq8oLHXhDO+uinXl2/LK03Zph8JeAV4B4O28tEit0l42f3ITjfZeJOglRfgA11dSoku7BtIt
gFuIxTylJ5/SxmVItR2j0MaHrGc5c1TZw3oEfSP/j+WDoM57tuOikLp8u0GRMuydvmUo+ABVWAfz
kgTlEsRpNhpXhrq0dmxNbtA/oOnTqDMvRm3rIYgmuqc1d4rxQDou1yzbLjwm6K3sxT/6Azg0npYM
AkolPnxwjlzRBH8LrLTTKN2EmMPNXZE6NoCm/k2M5KJx1Gw1Zt1dW8WWPVPUen9rnj/m/JId3LfL
yBJtn6ztlNEx9wvDSTxAVI+qqhTISuFmCpNor3kwV2Feyx8uDbnDn/aTsNeXTnaOC2K1yAgRExOm
2i28pV0RBsrVMcMC7G6x5LVq7vlWpTwALJ2P+seW4eTppoiuGssvvAQCgYrLZsyO1JOcQzuCKHx/
OS8ORUEC4bi9eHzaXbYW3QIh6bhJrbkNrGkdzzYkS4/DVOpXKKL7Mr19jJkVPR+iaY8Y9lRIggiM
RjOGaonVj95BTxd1XIV6NYrFPlSlR0k091OkswYMGtbyOuhuhzKfjU/+t/P7XRc099tTqZeWlgP/
8ZIFZyIwENn4Cccs415XKV7AgzHfbNbYybDCeakIrTafPyBbcw2rcGnBueuohgFZOU8TFVS50rEz
L9EnozmakCsi21rrW8OkX//+t71QB9vBhXxd3pado7r/ln9nbh0IYzjfbgLoGgFVBMDMX3WZryQt
vva5BsFwozlN8GkcFzdZlha7ewlN82Gr9fl+9K3hRhaqfPFktfx+/6fZnnn+NdjeCMggJ4jw8Ok5
tkufqYP5TNIqC9Qr4VdvP89ObWiRpVnecLQ3FwUzD9Ey8wFWjwApvWrrGu4Ka8ZxyTHw7MPWGZDr
KirQgO5z32vt1D84le1UT0T8U3EYGv58qMalK0LlVcNvsGx+98/auiI7DgYI1geht6X5MAR0dz87
BRlBKDF29+/MTmXAhVa92/7K62BqI3ey0Y3TnGDFTse1svIV0M8wx8papXWjeVZj3ArfEFYU9Klr
R+h7y/S3h81WA+JgQYwtopOdlY+TmkckSqGnL7FCM57nyO7ka+3mZXUEkQ+GK28QposyDX2RqPVl
I2LiW3oSE/K668e8NBWFey2Y6nAay+FOrsWchgWchCVExh8BO+SQzCe/6OigjNOA+ExVrUYTmVYx
EXsCj/ZBGi3q5+h0yo0KM5d5rA+Sf3Ms0vwJ6bxB3lXFYKS3WTro5gEXO3DbUxbM09dKWo3pxh7F
ce91m0cjO7b25KWH3gLYfVj8YsUaAgztVn8DnuH3D0tZGO39XDprdxxrUoKfc9csegS83VVRu5h2
dyhaiUBUh+zn+KzXvVajM7qtP8bBae0Ypkf9SaBCr/3Et7v7kHWVpcew6ltnTqZtMnoRSjfT7cd6
xasmGmxredi5UaAplHB+etJ00ifDnah2o3A3fHPcQVUx8sKAxwyRg8KCWW3qIUppqP6iO6IrDK9S
8yu0/vwfw5IBEZe5LA/NAFnzxu3ZPi8QcJtXWhzeEFKtr/IQeRjj+5qa2vQRstZihKOBS/cDfR7r
g6PcbUYtyi7/lsiX9l/zrK7XG+rN8wO6UV3ztPEk5Icic8wyLFW1TqFw3OUOkxyVHuetU1+RgjGD
eDW1+cVIHede1yvta7DyD5rF68obXHhNJNc8/asjrXNCfUwrFc9i3VBECIzWC0JZePkWQTPpXht6
uVlk2731NFLkUPcu8nsIGq7MMbQaaa1Rbw1Yb+XcL1+8uRWvYvKlGQdNSedCB68j76t0bKybSiss
eVso2f4D1aqf4xaz8J9NIKshrAJntMKedPS4Cbd4LZAN+dF4+NiGrl4joZVpc/ClmHLdoO9VGTLM
lFyetV4jFizLvpjCwKE5F8rBLYyjDbAzOCJziOeLRhoeL2lKjzVXnkGOVzRtIvAoX28rq+lTfqRd
PJY4vv4tZt8YYsPoly8yW908xqHHf3LRj2tV7I6L5T0vRtrYkVWk0jnSXYeuMNp9LsjOpKF/syaE
9ZK6drPufoQRkWrR6ApvjS1o0wD7cgekVdvveMTR9siv5ykPUiQxZofIT1qW9uLZfePdU28TXxpB
n+/VX6saQ89JpvmjMZaG+3Up1+qWYBU4fdHlE0jdoV5mcb9UmZV+9MyiGB9Lp/e6CIXJ4J5OuSgP
mRasj32gLz9VuVEDgziA6UBpDPZzn1dCf9qQaQq4CtGG4Sat7V8GLZAqgq8aLHeWP9nqhkbk9LBQ
CHDDGietLOzQfUFFEii3eCrKBSRlqgYcETdIImFqGQrk2Vi232a8GiE82HKboZdTm3uS/VR/0NB1
T29V2lfqIKkoZWy6ZnWQfyu6l75rDXDHKys2ONvwaRqqbv5q5DKtDxnXy8dNitKD7qLpP9zeHz4i
qCts5C0n3YDb3QlYrZSl1hB1680LfSG8Jw9hNBu+D8pkD0aPysYzDD7xfRs1zoeV+ePj6LK3jznv
AWDRsfIj3YWnE6EGPqyRa+G+FbfIGq7fsL+q1mNmAWe77zajwAcmW4ruW65NwrixYah/yuXaeke+
rR984LFfZYTbmfrYp122RGAC5/mxXz2gaKjCeCK2inGrkIpAATCsi3VqQnvQ8zryuloNx7oy3ezY
t4TTPHGGrA+WiSA+AYnRHZ0Gd7OoyBToL1WZzi9pL8IIW2nWCMCTxYUU8ti8K7ZhobfW3csC8uWn
ocniH88brae6QTsGOmNb/l1M4/y3XnluGfcqm7xwhlmgx7Nc7U9UykuQqcaGqZrG/vvGgzw1cSC7
9a/AGNJPyl2m+25p19+L7y50jetVflHk3dwT7SJEiPvh8G02txrT3FrbxmPdGO0Xz5r6v/rUKD5R
S84xvKnq/oDypYEhRqH8H05FzRiD27ao4hbpnt+uT1/gLtVz1SWGbLs8nlWuf+x8rRoS9J2LD5v0
ZzeqQJSnoVD4zEUISuVfEN7uPZISdnVU6l7TJwL4ZxnT93bXB9G5zrccSFCKOYT09BAR7+X37NOx
QUkL4ygfMuHjiACyHTqjg8pw7TrZg123fRXCasnRaV/FGKdq4j5zKm+jFCzExCcDHvjc0G+hyymy
ZYu0tix+bX262QeSCryEbGFPP1TWGf23ZfGbr/QWZw0qUocoT+vk3LQ4K2leItc+T3ycJjruDSv4
Mau1/2XjYmMfuIoa/a9VLYNzTMfUwKshX3X7IIa+/WB6zfiXhfoej/xsikepjeZ36gliixxrkkto
KfKXsDP5ezd9txZuPEwLsJdQ1Fvv33lwpS24YZMaw2qsC2QhkH1D1Nzt2ud5yxaH0ndTyyid9DQh
lPS+uyR7VUSJLf3stwjZRv46TOMTIaTJ+1IXPazdoAy6eNW07VfrKd0JO4nJSjwCUSB39NzVuluE
6ZcxXP3VOCxaveg3pnLG28kQnhNrXanyh9r0tpdRdYN9g4ckexzY0/J1rMFTRlKYnoxyP6hqvshA
wl2NQHOBIjmY5REv9B8wctvWWwf1UHL+LN2+iCxnlgG42pemK2Yjst0Z7cRltRoth5Obbu7frZiG
8dv7Ye95KRSsyV4fQ+Zz12c9SV6V4jTYeWUkjdfYSaWVco6FXgFmtFZSoDDT0+x+QhL6oZSeMVxJ
wC6kHshEIZBFlAlC7TSJhy2u17xoRhLUwR6kZcUTbOAm7N3ymjbJhaEAL1LrRSGdbthprseF3NSa
4C5GuHqOM+KoyEvT6XYV/X9W/GFCCOJT1LENqsunGWxn6VmXz4OTtJPlHFK01Y/Z3GTP73+5CzWA
XVCNwq1Jleqss9uJRuqym50EDLG2hRBh+q8Ld9InK53Ho4t08K/3B7y0ggBbSd8gikOoPslWlT12
zVwHADKJKw+GEubD3HooedXVNV3RC7tyF3SHz4F1AS5WJ/XURUEUxHbQ5urpjOGwoSl9SPs1bW9F
qk03qPH5+ByJueVt7I38mhPH+dLu7Yl9R1IZQLvhZKZNNRVt1nUAQkVmHz29SO/NGmytHSg9Rkxv
vVLTJf29kHtigkw1ECUUQHMnx7AhzN+Ub5pIDObaa4/AYYp3A78idLfRqqNxlHoViVYpFbmNr29h
NU3Tw5BaOrisFhfAw5pBu8XFBHNofnfpv5oTHkhhSY+jDO1MV0M86rypPBVWhxXRoAevqzVu6LPt
ElVx7VUZhra2Kb7ZmdKWb3M7mFXU263zXemVzUWlFRXA5q13EW5OCdp0VMVLHNgbGDXbKHriJoWo
DMlAX2iHygxEesdfSbf73t5veiJ7Y4zzns5MhQju7H9MwZ2sL9Pg+cVBU03v3yxDnT+Nvb7aP0bD
WiyMrEx00gkojSzqKfihCJPzwGVx3QdaE+oQ1NIbNxtnkqPUmF6CYOp2fendLetD2RhyuQVqYSLw
UbQLbZah0dxI10UqY7uwENT0S10zbigjL1WstMxxj0WwGG1MENRKhFrcobsdFo+QOzPNsv+gXAMh
D9gMQ/nFQ2dOC300Vot7eMtDf/B6u0d0CJtwrLks6B9fbFL4j9sCxj4qXWHJqJfltkWZhYJ86E7g
G6j5rPrT0viqfgTO7XzanKDsojyAtXpQeWY0ByPIOuy+EX4HVE5zwL7tVbe9LstmfE1R9uEpbvo+
e9AMb2pD+lu8PXbTNeiqFE0x3oDjG55ksEO3UCRpAuIkc9n/jygxHkyscOB4UuzOwzXVNp8uYNZr
B6HGQkQeklHUKqRTTlHbB9OzZvkNLwPvmDhqYmANoqpbrc9t79YyC5vAnUUoKlkPH5q0GMbf5Ta2
31y9cEkfHHv17wvDzx6QEcU2klyqkhHInfRuGCtsXoNW81Gg1Otuemhmc3JuV80lcYGq3XwN2npw
oXGYDucAEMA3NUv3ru8XM7iZVqOEXN1k652onbEL+8JJ1c3clMYWC9evv8sC1h9ChMrOw3qprE/S
6YO/SHPKT0swmPcZjUgtkrnT1A+9D0o2HLtWC25hyMvH2l6hW87V5pW3yOVPaTRVNAqOoi4JHBrA
yF2M56bsQ46qjt7SYPofqhxNI0DJLVpi05C1feSqpnu1bdzyOIJ18MvOmnzm3Gy9fSDY0ulHZhn0
FHQJjC0yIcI4qCZ26kXqrV096DUSDfAY1/Sb3TRbgwq/X3wnRvTqyK2d7XNAWfy32gZ9OwxZvXyu
tqWXNxp0c4EsubX/zXIpqmM1Kvcl28TO2NA9QSGoddoPvaqHjsanY/1NCrBpj+scyE9zi7JrqKA4
64faL4YKGs/qeTepLwvKPQ3WFMcOrMY/Wu32KwwXgIKhshqrwVTAWV+QvBvaKKfGaIYWNgZNEvTt
eFNMTRBEAkXuLtLXINMjQvimvV8KgGrobukFH0sKiMdbIK0uzDUrPRRVnwahrrlDdSSjs8jucJPm
o2rO0ZpzSXfDSJd7aSpZRjQelgZGcE9L2+vE/FkVo0+LMzCnz+XYeWYMrMB1I8Mh+6LzVOPcjGnU
92zKbPPGGbIlTkvVIz9GFyePRDbpSTVaizo046jJqFpBNyWLmeFGYKi0fCLndn80pszHK0/EeVcF
UT+49VSqgXLxSrwtnNYGLHOEWaxk20sotIKn2FRZcK0+u/+ZtxVphgGwxaNH7f1MCsbwWpKSobQT
kLGyDGdnmj4GbdmOnOe5/YeuevtxnVrnpsoRFw0Dt+zdnUNqIp1olX+9H3CcRwGAZxEz1ZH8IzQ9
nbO/YTDtUQNJsDjqHoKU/FQzTXlH3c97psRXoqMYyNC3m+rm/ZEvBQBA5v4gTi505kQ9TKY3TVYy
jab/vMjFIMdYm6Mt/fbDbKTalZ7ZxZnuHtDAtFARPQ2t7Bx1w7kfrGQP9cIuEF3sD1ZxrNPuRxo0
7ndSpIZa5aiO70/0PKZDOp2AbgeaQ7U5DcC1UkFKtFwzcetsQwLLkfFiVj5VLX29MtR5iMNQlK8Q
QIO3gV3h2x1MaaMqSyezEuAOW1w3U/YouMw+Is5dHiuLlqdyPTd6f34Xjs1uNUm0Sl0fyP6+8P/q
Nyh3nTq5lXoi7GFIApn+clb9mn3Bhd0CDYXlw4YR96XTPm6v8q5AYF9PFkO4Q+TLufmJza54ROs9
GA6TXzhXGK0XPhu7BeoO/wVDdIppLVyJAHpmbclacYPqTl4go9QWR6n5zRXEynmPbDduBqkREAdT
7D35bFgvmqpzpJHgDbIdttE1f+7SYjdw2uy7EUWGiPxuRHxAkuUjn3rlRrqwtshEuahfoPoAvuJk
+CKvaq+mXZMoVOAOowLCW7llSli6lZGc7f/jQIBL2cPwP4Ibp/icpqIT1gh9S5Q56lG/VR0ykIVK
HEfVV0Bg5+J4gAfYnDv0hgXmWn+7OUfHnVtHunrSpB0nW9e86XWXrx9CY87HX0GNVw7CWFbbh2UZ
aGVEyrcImKKj8UGKoYLq6OkKm+QlaP9zcslPI6tEOHBvsZ8ugz2IyZXEXkiTFs7LaFnrT0MtZRXP
fm//6g0KJ1dO6oXrgZseXBTCZzicnHYGhxqWn+tVkDJAWyRKn5Z43SwMGZ1e3u3mh5GEtvr+7XB+
jKhs7iSyPc9zUMp7+wG6oF0MZ9usxEk7cTDmlp7STJshQBTwvw/FSCCLqbbgZHx6w4OjdIu05kUx
WieluzbL+ga1GHc9VBKhgCuLeX7tceVBfSNb52KCl/Z2YuiqYwSn+WayKfD01A7dx03YzpWr4fyT
gWIDgwoHDaAVYLa3o5SYcg71kOnIGunF4+gQ4xZm4z44K3Ripet9tFq18fr+N7s0NQh/YAgx7UJr
9mRQdCRTzy50PcEgsLmf7KFKukBeE427NDVOJxhFKiw7sOvt1HxoNKaNa2QCicj/aAJzoMkmpqeq
yuzPwxDoabjmIFWvxAGXhuWSA6DDDvGw9Hg7rODqKbZC6olh9fqzVpQI1tROcVQ0wezIqKAnEB2U
argy7gU0DaQUFpTDgDgZm+btwGwk01bwmP7H3Hk1t3JkW/qvKPReuuXNxO2OGKAAELTH6UjnvFQc
Wz7LZrlfP18S6BYB8hKjnpfpjmg1RQJZlWbnNmutvSd97SkKTEtltmj95Q8U9cHUNGPrRGGHC7qt
0wlZMKMvyzAXnXepncvzM8mTQM6hPq960Z/fN1oP/8QoGzzQecm3EQntval3zsZouksYoheGQqiE
LJ3yDJ5fbcLr+7RU5Rm7qe+j1O/vc6NHsURo5ubvbtrHK8UFgUXzQK6W0+mFbtZVHY1M9iZ1gSbU
Iod6mFOVxoUT+fxwQLpVLWQVqAVjc7ZtzSkp0pLGLntnyqpbsP4inAdTv2DLXvBWcQYgQkJqA8F6
/jbkMoXm1La+dycuAtg00Gu205xl5tbPmnpYO73Mvs5k0CgldyK/dDgf4ZRnUQqtdVR20MQOPNsj
kDNsGbuzgVdHGnLVIZcMeyUXxPxUHouaiHYe9RWQdPMdAhaUyeGJ2t/QiAv+DNza+qbn0/hnRFt0
WvNQa72XDSn79ZQoOfGR6uXn3BrN4YtpSPJJLeX7lS6B0e4tBA4eLAKiL3niO59qM02akEbrWrf2
Ok9+bp1subG6vNfQroPjEdYzGZsLh/UFlwjQrrqwlJDxs/Y3TuZXXQ7Yb2/R2IBc24Q4uRZT9yXU
XsMzk1evb97zYwIlzFcFAp1FV/Av9fsnPnRXWqbwXch5ckhaCmdU6m2tqNdamdT7C0OZfNfTlX3k
1wINBkAISh2jczoWgmKlT1Jywg5lVPw6Enr3heZN5v2SA6RfB+3U36C4QLMCLU6TT6AnR3kNdww1
vZ6St7nOxqqt/szsaPbuGyDA6xYs8pcpohn899Ypglt97Dt9WvlN4rokikYHAcPBMfIQ4QoneeiS
yaFK3tayWk+qp9Y6Ltwohl7u6Z+WOVjoXohqaL+dCh1lVLNu2inUOrfo1ppiW63oLwalWl/aJr6S
kz794WhmAkq2dHmhvvT9OEyysRZvxnHsts7UD/O9HZUkLjqkXYMrewxS601jxhnXaTzkaJzglNZ7
UnppvKvIh7hX4HJmuvX5pHl/f30Fzm8gFoB7wKAWQ3fa5/RIJFUKjXMg96lf+wg+oK62s6JIFjcD
1fbhiiyj+WdQJVN8iQn87A5iaIVEV9R2PCTAYadrT7MU09Y0d9hbfhvnaz+p6aKUjFX8Wa9yb1gn
dAzRrt0eRem90WvGR04niuZlsYCO/9uzgKPG0dIp5QBlVUfwyZb3ZAYKnmz7vuuiIayQUFhlRuZ+
C2wQDG5d1mvb6+ILxvvxBc82P+UckHFg5MB2nyNnaRRAoq+u5H4EFzcQkrvBg1GSh0PkbUTULLMn
sr/JHFX6XTnFECeauOndUMvqDoyOEWeXZAHPj76HnpC6T6hn4QTxv6fzkIg0S1GrnPe2qIKHWGrZ
3tdHK1yaLr9g1c6vLoZittUGIAIwn+F5C1ijBLvjQslHZld2XxbXNXC73esL+9Io6MUAa0efC/nv
s3xAmQdLpJmDvl8KWYbJksM2botL/JIXtrJF3uqxFw+T9wyk7yDyNPo5JjqlAbpSFtfRBfS7jddI
IzRz1Zoeek2VNjeB1rj3hhDjBaP9/BzzBOTMyBaij0GF93TlqrEDp2PP+l6ORXQFwi69aiDgblMv
8va51c7ryo2XC47Bs4hWLSJ5Fk4waqeEj2d+jjUgcFeMiCvSxhI8jhl5tKXV4DQnWykmfT/UeWNT
oyC9a5hzhxSfrTc34OuSHpU/ajGJF2seuEh0Ui482zM6/uOzoawAqYG75dk1VsQBWh1Jv+wLozBv
qmx0VfHIb756C11qALEM5YQ6HIWasFNFCjBAwSL2+tDayRqIdSzWoECRhJrrUaQruEyledX2eBdr
radV5spF5KtdWz1xyTpKRvcPy+rcadXWSM+E0my6Ny5B9bTWAW18oqdwV6Or3QwUTMjkfxk5/Q9T
mWTtKlLuy6rtm1Ks9Fgff9LGIiX32XtZunJ6ygOrAlz9GxsV+0+67OtLjavOHTw1VfAEUIxhmZ6L
gdpuHaVB3y371jGie90R3m2ZxXTRsJc8+C5A4f2kh7Fst17Vuh9eP6EvWEHSzuRgkAMg9frMV4ZB
Znacn2UPWDetNt5sOj/zGG2KlZ2X3qTAVdFDk8msWHcYRxEqp+GPop/o3WDYPdnx1x9IxcqnVtky
UaggN6scIGKz05OkQSSwg77X93VZVem2Qc1hQA6LfmyGhXD0qk9yakEGCK8ynG0rBa3LJroQ9b5g
iNGfx+HGeJGXP78aJlsTcTS3476u2gwIgz5vdC2P3uP41RdM5AuWA8VP/C+S+TjH57ROu4sinPtl
2i/UZB6aPqe0XDb1eoxr/Vpg+cMyz4rDJP/Xt+l/xT+qN4f57P753/z8rarnNuWknf34z4fhR9vL
9scvd1/q7hcMwvcvfVqJ/1Zf8u8PnX7FP+/Sb0Bnqp/9+V+dfIiRjk8Sfum/nPywEX3az2/lj3Z+
96OTRf84AM+s/vL/9pe//Hj8lg9z/eMfv36r+EHwb349/uv993/8qjAnOBH/9fTbj7++/1Lyqfc4
bskv/7v80abf2BuHL3zyyR9fuv4fv2qW/ZvCqBP6KNkjBCVwksYfj7/yjd+4rNmqeM34LKRHfv1F
VG2f/ONXw/yNDhxKsC9QeVwSXr/+Qt5b/UpznN/IkLt0sSTppoDv7q//esiTZftrGX8RsnxTUdTp
+OYz06G0fmCYQhkjc6gunjPPifiXamqWu1d6EuXoqSt8Kv9olMA1dcRap4t6qWmmhgbn47/T07iQ
3i5J62IMVoleufld5meIxe6iakL6Zw0CPPW9NU0s/KBdyzJxmj4EqBVhJM0UBGqxoZtK4osLSTTj
/CRw4ixy3qo9IrrW/Pf05OdzX+YtbLfrORrGaGsCOOMBqtnkEZHv8xCPkbPbmg96Tc3sJx0NIufP
vDPs4R0I/kZ2G0IBMdvryBx893oZiTW+Vomh9/4+0Yuk2dLCPZ5+D/wyy+cLT28+CxNZcQqGxMd4
1GQdWPOnPiwwirqd5VxcD64d8/WLKFz7qhMDRh9Z/az3WjDUtNGKUTjwGtO+c7M+Ya16D+X2n07Q
8cx2jmrtnakPkr92nUWaD12NONI1/DsA4FS0q+wnyHQvvzNAXZgP8MxT3riNA1doa23wCadX0BOC
4Z05yzHLVnlileCc0WdvxcoQzOqFEOY5yQTMDpJT5HUsB8yMcfbmmTkPDRd4cp37SMr/GSQLObfQ
Niez+WrPseZepwK2+VWTjIhOrKZkse2r/vG1DPAf9tXhrbPUG3he6MAsvltAwrnUO5zjd3a5oEGj
Qmr4yK4DHfb8Ud1cziWSjzAiyLE3X4FvVWz1bOiJJZmcuahF2CGVouOOPB4XrrlStFvUW2st2Rll
K7X3TkYHDc6JwdkIUXKSwthqw4AZ39lTJdD4APdPz+PvClAZm1ezDXi5D91+7qzhmv4OHtuaEwQ9
ZTfmc85xtAOQF1SWyqzTumvE42GbrlLmdPAeZq9CyXPjREZZT+tMlmPebEUSV56xNQa/8YNbrSv0
toSYChLTuTPbvBnmN7arUyRe60un9TjFXHblNzqqkly9wmLIgIZbmp01MUVXx5uCG8NNu0gPsyjo
+od6RMA1Wh8mQfBWpXanSYriQN1aMTTxhlZqvtPdBkOfBvrbuB9ry9t5U8miu2CCmSZbCkxMAcSB
Fw0yQE7vR5oAtjY45sUy8qvUnOa52XXTMGfRNtczqgEc5clI5QYFT41XigDb9dYOI0BidiW1xRHV
3tHm0S/v8sEZy3ET0La8jfdxLB1Nvxf2nIhxk0ZWHdtf/dhGWnNrla7dfNUJdXjwuhtZ+n7M1Q84
fYPfhVaZ9kpkMyKbYbgADWJ7Sso3eWlNdOJAzk6PJ/OmQUBXxje04VtSEtKFkQj3Ng+sHmnPIYgB
Hn0nUHP6dEfRfyiSdTBJmoJexWPRae/bvrayeU8zIo/dAFrfaduPC1qknryxo8odhtu4FzNzRU8y
tWFIPPXxfOP0eqBpx3fIzdYA/iKNWBPmzz4f6K5+S5ajsf0NZODGLR4Ggrkka1ZF4oGxqldsM/TA
V8jOJEX5Z9THwVy+BZFRDMZ96lvQTu5oB6HlFewZAHf6rnXo0Cg3yLr1gKodTFZHA1Mf6+xvszjP
2ftRhezmQPjANoGNoVl1/VYabD7nZ1HbtRRvc6DdrL5lEzmbnHA95ydfU2pQm056lFHWdZkUoM9R
VEeRNUwKCeB+pzezPWZrGEN2foeqqLrUzBEyb7smUwMjepUIvy2C9dKalV18V30BmuYhqBPSdGFq
eZDG1r5GqAmTMCf0kz/svuBo36cIllPJM8HzGfW1SUm3Sf6knEIuau+g/izaH4EcdI3QfhRiyrZO
nUxp+nsE3yAtfzaF35vN91IXRlW98TOSRPZtnQc0VVgbk1aX6dXiQGVBxZlWV3W9FmVW0ha7nnw9
qhC3KSqaod3LlKit/QhenozYqrHmaKaui3MYQZnoCHjgtFUDetlltNJqiBv1feHSnkV8lzHQwvKt
iRJLA40jQE0o2TSGkVjWJ1sagMY2ZpeidLwp3YbBSbZ1eRMoLo8x8qp0SnUtbUKxvTQ07U5PG70e
3xt5nxrTtqksGS+bMUE6i6Ye5UCtIb+bgGO4gio0FAcMozeyJpkBgYRbS0uMqQ5lr2l+8bH3B0mK
QlDrWLIwzUxu3tQdSHNua6dvjflTNSVO60JygL5e3LFtNZ3eKA69rMwHrWlGTkYUVTNHsqs9GVlh
2cfppF3lXe4O5r1GqR+uSuctHfp4bgdMcgr7qnSGeYtw3+yOG3qquWW91Rx7SK2Hxk4L1hA4fxmj
u5h689B9lr0fm+D/K5JYqH+bCwykEPaPNZnXXgNk8L6sIXNX17Pm5VP9bmp9j91b2hCm5E1keNk4
3OYzyQTCyINFS9uJnlgp9IscwYd1X+GktVjbx0PeFI7B53kiLBZxJjhDBa7ijsKvKWnTaF41vJDG
ZY8CtPqb3KpctdX9SP2NZgK308HBPn73PLSP9qt1BdNkj/k4tZtBDkNfA83qNYvOiq3rQmYhyUl6
/KYSzchfGnU5BflVNXJe3vQI2drLT+E36UA35gXGXZvdC2fK+UvNCyqeaawLzGXTFEJOD1lakHHf
4MxWmCatzY05+mD6i25iUxKYA+VtCk0Bh0QsfAp2gXoB6L8dhw0OomVMd11eq3NcybGW3yx62Bhz
yKtVWbAZa7PX3gfGWHJyjkYDQh73B7SfhmeSVYOAxDY72JNF1ymBbv71vIf5GcuBq5vDJKGUrnMx
CY9zTvcE21hnMELtcasPMQTfTYVQuEzecoG4br2O0LWqrLfa0LgivqWqiSTA3p9doGsrZ6lp7LuJ
OzqrW9thCpbOvnLdNK57iA11ZjbvgrQvdfNexplaq0RKZfAQXiUfvR4WPERzOznl1P8sFwjF7mfp
pEE7bsecIfRNWfmTN9xmgWGPYksyZpnz1aw5o/nT6nn0bxTn9ZbrszdLchaVj4RgMhRo2q9BKGgZ
PDrbbOlmGbTmXggok+9Ta5nHm5wy0rUPL7b/wUGPvWuzb7XixnJHy9rLpctMb0WfmDhP3i0iZ6Kt
g11NXWvEvKIHX/N4R78/O+zHLqAzBHf50mQQc5cYnnezxRtyWdzDOWgsQg1zE2SjdKwH6Ioxfyhs
p1b7f6ZJxFf0GAe+GIJCNAQrF14xKz7GWtL2YT6Wntls03pGpeHeL2eTGZ2WStl7hFOdodsaYmwt
ejZK0wSMt8y2xnGrrE61JoLrp/OPZhLKoc7SAPPTzYsaLo7apfmaZALvgwDb47knd054uKahPVOw
igYdl6U2F/VFpV2of1SPLkJTsaHx29KSOPF2Soamq8KhQl87WFU1pfA+FHGLNPjmOIN54ce8jOEm
6ijTg2NkeqoOIev3cD6ZAnqEVuxekqGCOyCrcmUBdK/J25pMk1dZCbxf8pvacNNnLQpDuEHelDvb
AA6YP4BKHlA9/zLSUZIPVo2VMIW17Wjgg7thyQ33yvPQbpr2pYhrO1iNFZSZeEMGQc3ycfghIwrA
8thJrN4fSHOvbUmyFXb7PhZu7M/h0KORrK9awGIuCe/FS0zvY0af3EDsRYlfO66MxRZqOfGbGgi8
8IGVfRiCqMWUuxno4QLg59iO7XViB8kYoy45DY69Pe4lwLRB124k25tWWfpUDXq9C9yqrZf3/jD7
LFSRDzYiC6Bx6XN1FUi9jDwVshr1mybylHEYagbXN7ogt7ZjNIJeK05KHsSZmvavOWoJCNhRep+p
6Fhzhc7iFYe9fTy4cOZUoHvcQ+1hc3RVoWLhwwaepa+2VyrzzkNkY6F4Ul339aT2A+l05bIFCTDz
O1nXvssfMpcFvVcmtUUiP1LbPqlywR3iHXzo3kkfI4PDbOmPBrRLbLVWS1kqj6k2/Yh9fpwz0TUj
wFzRzOM4rOJW2nQdRxpfHYV0hp5YvzsaSKjOFMQ2VO7UI+PyFTxDEtCGc1wlrlSvfzgTczwvPrxF
iz5c9doqwJ2yux1X42Hp76NMmmfWyjgfN7nlVGp3T8eghn3NentpSe+ruzYqVJZgOrht+C76BAS9
lo1Rr8F9VFn0r88djEZdwHBQLTDslssCvrk6xXSM5cAcdy7t3RaeNe4RWfbWxxWoHV7gK4U/rf1a
Dp3ekM9YLFrIrI9m4TCT4wDUmY16WJpOEANwBoqy9IJtRjhLTuT4sTay1RpxOZipqaL0mU6MQi+U
AdEfbeTx2GNomn+bPBnV7Ld4pv1SjfONOHWxrg4243ifRY9BzyGIcjVY7/hN8VjN7oN+iAKhY6pz
QiYAgPX2aHOPs59AL266Lcvb9u9N2UPm2MwVZudroc/KBYsNFEIwsofn9B8vzeMCLo8HInJHZdGp
h1jMzdG2LUJTG9ZuJ3UUjv+yJfHD5OSjbrKaJJzUEh9TStWACnO7JimpHnWORnXboaTZQ0idTLIW
XFI+YhrFigS8k98dN8jxYAAWV6/m2ujWT3dLPaiot7ZA4cPsSZV3U6Uk83B5HmO04w7y6kwaPoPZ
+FcsSKJOL8x6dR90fhW0DdLFdB9oQ8cSahKO9pu7QqW1DG6dvO1g4zpJOW2fJAqPObiTnJsqjJ5k
qJGesVAyVqIaCFie59xsO3WTlJr6bsalwM9dYovXCFJ07ALwg+qmOSxGweZlOjsuRUwRAGp1Tik9
q0tCxI0ylBceTZWZnj4a+E9Eb0k5UlWGdGyf1dt6IyK+phn2Hqxjnf3MNdMb3tE5ctZKbIEZQ8SA
TCujbVUIliohzs3vmlrz/C1m1RnECrYvuaOytlTyxnR78wIK032eggFJwRMiF0BJ8NkjdlaQ59RD
tP1hpuw2LVi/FIw8c0RbAli5u2kiTHI/VJC5R6RbDQ2ewR4QT7JMcmUXoALMK0Q1e+nufEKJwLqH
KV06Y9hlFd3Dfy5WPTkO+/jRcNHpWF3qaK4prxLSifZeK9FuAkTi410ihuIm5GxXRV91WrA6Xvvc
fOpT5LI45Hku1B49WK1MFsoBPyQmj0aGBgZqbx5/Oh6B9BAqwUgGFwmnIdZq6+pwl+BOIkkdkqZS
UQOKE+qgHg0t1Gf10/Hp24Mfoy2jMnC6G6ukipumGj+xpTL8/EYb1V4a/EVZ3ypHeseDXkQacN4f
rbYDMYQPFLGlPmcjgarsndDVTc7uVT9J2G3NV0OgPDRcHw/9he15niNVED8WHxUlJSuJFuNpjpSZ
d2jVU4urpKNhYATjoyjbatsVtopTgsTMMPLHm7I+hDmLPnHGjtFRlkoWjyLY4/wf4oODr4a0nnIZ
j5+1UxpZDBfIs8+rzOpQ4XQBm6Uy9ezce/ZkN4GHJ3JMSxy2EjUdZSwPmfRjssuSSzABtWe6eah5
dnLINuYSwZQ7pJ3/ViHnfyzKnBRydj8qVfro/n+q3EjRqzpQTNnpaQ3GZd/8z6WbzTf55XvVnn/g
WLHxqK9QTkOF0MY3oGyD/TlWbALzN0BVqkEbCGRVa+VX/6rY/Ob63DKqc6eNOFRAaeLfBZvfdKqA
KFeCuFVAzf+8WqOKq9TowT3D9AE3+Axxok10ns3NRduAc99KL/9g9fTnLH8KkuDFhNyq2MniixAf
C+/W9/D3uVv7qdo3moSoae4Ss93gOVy4NU5PpXoqzLHSolIoULLiZ5dGUU2kGwMt2EjdR3gPYN96
7Ppg0yWW3CBMeZF9c1q0YkDQcpaHEiUz4bIU6oJ9AvdBESEbQNq5NLMkMboi+nbKe3pGu9FqwGm0
VrGFQ7gaBQj9NTCuLFnFudDew1xBp8KIOu6pid4x95D603ZVxujngxh0OhhUeqe9NZqk/6PJp6jd
ILxPJh0LZ6ACNNnmn/W0AOqJh2T5g5qM81mT3hTvIpLIdTj4/pi9Fx1id5vSdBbYvGBGoq16E7KW
hewMWiZCGd65o94WK+7a1L9GHYfVLDKR04lxMft3kYKeUrcqlm09GYOzSxc/3mku8o5hocnC3haI
LW2TMtZdAkkLcivX8bhLG6dxVpMU2R+xU1oWxNPEgHGdiWwhDzDKTw0QS2SjOvAdNUQ55FkMs+hg
+CLMG6a5rZpWOVOQrdwg6slTxOCVVijO0iosG6ijopuDQNsasN7yzY+aKVnB8mqC6zyuIZWmJVyb
FcrxFRoc8Tg/dJYv6w0dw5heW7W0Wi1aUbkrugeU/SZG/yZaCVoBJ2upadSdyM04v8ulAe0yVT4y
NtAQIRYWo9FfxXqd3RtggS71MjjFCzxuJm4U8tTc2JShzutumiRBNZWztYFd3O0REwru3YLU5qrS
DFtDeH1CAUTLAroqF9Ks1yi+keB8YoBecAmfb2j4K7R015WFgANwVrnsCJ38Al7Apmo9VGSKtCd+
UATz7HrhwmCnaGPpEGrrDY3QAKJ3l3zSU8ePFteQkMGnPnbLwog5Z0+AMJfWyiXXN2M6Wh9QXOre
ZEk3hrMs21uJJBOSD7HYIsBC5hzs9a02TiPaaqWA1JcAkRx670JFVF3mf/miPBKMPlQaVREc6USk
Z09Puae5dTrrKM8nRlTcBXYrHxBYaC9UH18cBTw5aBHTo65+5lLEVBeyTKbAvKxJ3MypKAjjFmvz
+gKf3f3qZSxoHSyyaal+op6a/ycmC3QsyucRL1NXuf8mGHznnWx7+4dhx6FcfPse/a0/Mc12WNtx
h9h7fqm/ydkee/YEZy/qU5Skb1xuhONk/PRsUYdVB42YhAYiTY3KpEXzCk9fXHDYz87Xs3EVVObJ
myNKW9nAoYxwSOR4vdSudp019ucmaeCe93VD7jmL5++zcNNkXerV/Ob1qT+7nR7HVygL/C2wARz0
0/E1wlUqeRpKb2Sot5FdRmua1EuUnrri2putS9LdZ4Cow1IrPFTgUB9+Th5IK62MzMXVQxzKHNBv
4kHEqM3fE1Ioa9Obsr1T5MHbodaG+8Vwph+zW3rvnSKGK/b6qz/f23SXQShGQYRxac57OlU6xnlG
rQNS9BytOGPmO/Rq87evj3IKu3h8X04oyH4FQwO+qDbAkwUe/cqwqnowQghG2QcaSCx7kU/eB4em
vCv0QMDox0kRXaBUPn83IF4w3UwkhkGGnjNhJdEJElBsZ6emKXFGgLdZBhr1vv5uanOe2iBIUcwQ
hD8lL38eD1dVTLhVUtUGP5xsp3JqdtWARSyNrPj0+lDP9ylgNfi26iLSFRD0dBoXnzqcwtmHSzKM
dyIYq4/aJBATrTV7U9XxpQ68L70aKqoQwjgcwC7Olk2bYKCKwdfDKq2anTNoBV7lmIV0h04uIaXP
3g2zjNEzFRzv0bG2z26XxHNRCMmpAvUNaeZNbAhXrpzaqb5Sv2yGdeWSblkZfjMgNIgCwxUUogou
TNzU823p1Wgh9HEzvRljZEA2ed0j0jhRkjPpG6ZxJ7++Emczw9PiWRN2QSNTuHqFvnq6oWXc2ygZ
ZuYmLWjSZvVzFeZ9Nm11C32X14d6xCQ92WCHsXzPUi3KCBHOCc/GIhcp8tncSJKqn0fQrIgRR073
eyskoV83C99c0UcR4QQYKlYMssC3r1UhcV6Tv6HA09Evd6LIsARfSioC/tbOI4gO5WTZH9Dg1sXK
reitAQJLERkjA9jB/vWXeGG+cJuAg8DZDlQscDpfeY78Cmxma2PMln9rFpZ/vZjtfOMNuXz3+lBn
tkZNF9YM3/4RtkwR8HQo0SRd3rpcz3afGLvFsJe3DmExjmXWdhvaokUfHLCmFyycqVb8bJXI2MGb
1JGIgvB/djYr6etsxdLalCLt3mVNE4l1jqLE1mgjWNYUqIdkjTzBtO/zyRgh/ppGs86ihN4NuUXm
+KoHOkAzMGTBrlM3W6od1T6KDC1aHOuhC1JBY0mzcG6muPDEjv7oTRbSRt0vVrmR+WP4+jSeGc/H
aXQND8Fv7CedUc92OFiMsRt1ohSzjfu7QNZB6E3LJQ6tsiDns+bC+3LpefJIzjhdrKguRxBHvrGh
W2Fx6w7S/V65mRtv0h6wlxWVzTZ3xuVWSDv4ILmYLlwRL4wPK8ZRgEAHbq2v9u2Ti6nk0u0qpJI3
VSxuAWzd1KYN5KS5RwL0RyltuRK+99G26m+vz+5za0dsCp4NugKNH6lHno7bwEdMxag7G7KgwyZf
2m6vg5Zcu0OTbnpyuBdW8/l7+hgrekJAAIL0cc5CRe/aDWLadG3ySba3VKSL97TSEXtFOkMiMk2s
TQCCE5DYPK691KZF+esvfO7ysJ8I/TkbNn1ffXrCnb0xcHewS17DGydj9N7zSp+sFbqZcK+Cfk4J
Mz1kGBv4ItRGc9fK1nqVStKQ1iB+RxDV+XstAyELwEohmgEgq9Q5oD6eLkGb4IVrrWVv+K2z9hvx
E13DS6ztx9f6a4O7tLBkAGj3EBt12jU5Z6/tOVrfobBEjSfPomVlxq7zDWqPMYX00PLsbYlxf5MK
wyF27OFGh10OB2Q36iKhf1RdfILNVJG2ldOi+mY7EB8rcA83CfiwbmtlKQR3w62g9toUq/7o8nwp
r+Lch1aAeLGerFIEcLXthcU8NQ6Pb/UIL/ZoNYmxU5Dlp8cmiCMwPKltbtAa3HYxdFQzoxoJWtH9
tlBNQryH3tmf03kCdgL2Qe76it4EFHTTadOhLry2U+G8tVHa/P31Rzu9aHgylNbgkoNYps2DQi6f
PZnGYs9564WIkjfUmH1rWpmkcN76seF8/JtjIW0AgYlG9yrphu7D6VhSjk0HAsMLPW7msPXjEqzS
0qwnDzLi3x2KYMHVUZnDGHN6zqxxkNhoK1OaDMknIfQ8jd6GzM2wI+fuXQiGzhk/oMwZiwwmTA2o
uJ7KlD5d3AIJW32pGQt13vuFp8IgSarvpeF9A1jRbnyLHBLZe0rqMjCvE8SUV0GToy8ps3rbUPC5
EB8+W1TlvnOpc7OqqMk/yx4CLhGW0dFYM9PseYtmp0NCb6TzRTtf6mh0aagzq+DZrW6KgqHSpGo3
M1kNaMAFhrKnlenra3rqqLBVoZNhFlB8YUlpinD+Vn5WBpH03XBBBfzNoLfzxwqu1Ltlmv23Qxcb
YV4I68KFd46kPozKjcvO1anjnd947SxgpA5oHs/x6L0HEKutgsnO9lSLzCsqJ/4azWcEJpK52oDW
TW6x6dWbxE3b74PRmg6oQGd4t6Cd+PcXmbAGkLdKE9v0wTjddosYMnqY9l44+lOwrZt+CSdAgVuU
4vXN6zP/wiKTimfiLR1tH7D0p0PBP63ssXTRfV4q/Yre7u6dGZj5vaLK/v76UM8sJXBENi1mSd0z
JI9Oh1qMukEdXw3VIfLmFFhkPZ4vmYfTxM3jVvL5djruEqUxztko9Glraxt4Z5hMXpFtzcxwPiEq
je4a+k/LajAD+YDC7nLj04biwjY+u9kPg9NggclUjeNglZ6+YkcrQmA+0gsX15LXZNLlNoYT+OCW
UY0oVBLsYgRIP5LWKLZAFos9nn/6JfbG5pLmxamXc3wSOsrBKwTd+4xSpUOoqgOQeeSp5+KuW6L8
W+c2IC4nv7uyBPpXXmXWv3ujLj/UnbzUOfyFA+2bFmcKm/945Z9ORI7CNSIjGnrxjjbdlJpufZzQ
e95msv+A5y+3Ti4vdZ9/8ZUdaNYoeTwKD52O6SLlrflT6YVTVSy0mTPJ2RH87sEqa1+5Xmeg5Igs
jt087bLSnT68vr1fOkmkjlycSgVUcM9smMyNPAumxgsjRO+3iW9JNC/z6K5H1O3760M9EidOXCmO
0tOxzkyzXldj68MMDwenbFeE4M51lXXWLtZkc4PQfnvl5R7i0sUyvHWQi74HUJ9/EiCw7mQ+J/+B
DSEvwtnWFafeOnM0ZnuOAWOy15B6R1+5wY6iEfwTZ2j6fxzp3DBqsRC5xkgCReV1RKJNtYIHSzDo
TXhhjtV3PZ/jv97qzM8odCMaChDzoVG748PilvEGvXfzATH9VQ3sd+O3VbAuGi+CqgnM/K4dxy2t
Ci7FhS/uKxUxkJskr2+q3z+JyySJSpvrwAutYW7DRWmrmGNvbeFt+Bfe+aWhLATNcORUCvhcsitB
BRDeAubLSiZ7V7S9Q8OcyQoL0jtXr0/vadR3sE/sF6VPQ+cl6hanbwWm19fcCed0FJQXQRyJz4He
Qs0I7JL2ol5/AU5gv7Ca3D0YRPilaPSd7Zx4lgQIdC8JARFBJqIqta5Mc7pwAbxkgiyqusgq0QkS
h/j0rRAZh5BjMMqyGN11My7aPR3C8Pt15Otbulmtgz617krbEvcWAhkXXOOXrO7T4c+27GR1NB8Y
lNF3yNvDQPEBdbrlDkivvs7xl5ECNbPd6yv54swiFEWd3yfnep7QdoZYrzSOAStpZ2FhiwLdPnFJ
2uDFrenYBJEWjj8Z39OZ1dKirG2PV8sQJtn5AnV8qGArz4suMaJfNK6cKRIEZMtJbp4Nlbf4Jzlx
Dlr6qAivNciD127aT1dFLkMRpUi5Ixq4XWDV5bL+s3G85QvFdEjLNfncCzvqxXPiwaLjpXnr89Nf
263Xtx2zmw3EmDrt6u/s0gruusxqQjn2cv8frOaT8c4iHnBVYqLYz8snQb1uUAgHyUUX+b8/ioL0
kDRGNYoL/3Q1o3LQKkvHtnaFVr4z2iwOtTHR/4N3eTrKmeXsxVga6VJz5lFY3kkofNuuXi5Jer10
5nHUEd8ne0YYfPYuIOJNQ2icebqMt9ezF6faCn2f8dMAnrJcVVbakL0jZl550G2NXWHS3/f16Xzh
cFBsgccLr5P/cx4UFkEGyL8UfjiNsbyRiVy2EY0ZYJEZ9sfXh3rBxAT4WKTPHJv8+3nt3dWjVp/o
uh0iCyw+DQV40YWcUddV9eeWK2wL70rfvj7mCxaGMR0PvUbCNGL+093STbSzKGbGjFO6jkLANq5p
G3ipePXiKCbbkQoZMgTnN5JHs6hlbgtYz50QoW9WP63GOioBnAgBPEWzvjh9EMj5z//h7cyW3Ea2
7vxEOIEpgcQtBpLFmudS3SCqNGCehwTw9P4on99ulfSrfMJh33R0RKsFEkwkcu+91rcQUPCO/fWr
lIM1rY7BL5VZFXQFTZdFZLHjfdlczMf0l4tblRvWf/640b44jXXZooEjfriBnMQtJ525akdv4pJ+
q31epJ9Ock9vlw8HJvL1dIrpEzWRdvmv320wYftVENrRNS/FHp9t/zyS4LOTabVdtNgbH3Jk4/sO
a3SAHc3cF62JXJeABeHjSfusJfXHWy2w8pnsnOwxH271TDx8g/CScjOtvdVX8PFBaJvdvmzXka27
UpcALRD4/H2x/mE74C7878ue7tI/jmtplroahyY3FKsaIrOd4++b1rpRMXqguBJC+DCf9XhFJDyz
cZHZJ9f/Q88KfCTtIeMnkJgn9dcPkA1LMpaIJcO+XoonXnCga41ejBa68cF9k7NQ37bBAQqTjLrx
gILXftNKxqjgu7aqidpNIJ+cSFD6rDT/Ceb8bYXQ2aDFY3BE+vgyG50xtRaDDgDnV4QjyNEL8OWl
dkW1LK+yUjNelsne58NYBrkZw3gX0+r3k7M+bMq2vw99/MV1yzjQcriGmC3znZ7J/DpzMhj+pFnO
n7SI/rQnMKJjLsHWdZIo/HovV+zQskL6HaJ2sQIncdMzPY4/wzj/aaUSBgrHiJUDw+fDL9alNXYu
PecXA3wD119hG4U0oXaGlSx7r0ZJHiQNZuxPzha/vzZIdAXbioSKRiIn41+/XV0n6Jk9qggcukmQ
Iu6JejctMf+1Sfj3p+L3rgyXwn+KUt6hwvj4y6u81SZMmpSIqq5uBjWRqZGrGbhfigalisgWJHB5
JEDq1S1mQsb+fvmPTEVO/iw5nCfw1ySGvI+bO0bItapkEocFZB87IGex+F5oE2co1Ib2VV6aOHdB
k4J3zetli5xR3WskbKf+YA24xWysbmTt6lMlcX1uOS5pXGC4ex1wMEEsxjzBSz3bbxmBBDNeujge
QWrU5pVcE6yEppv1Kkpcvb/jaG7esn2abwMe/S0gs7FpdhUWNRK5qm65rgnTaz45Ify+kAEe0QxC
uHVyKvw2C2DKbNY55VYhMhUNIA7uerqc/3HfkqucdBk8K7y0Pp5DWiyXQCgLem/9xFSn3ryd2Obv
hVktn2gk/rSeSJ7y2N5Oc9mPrVuJzNAbJq6EZrU9c3PLfNSnzdpZbS82X1um7gfJxJHShPXZTOCP
t1LSUgPZzYr+2VX+xwZvjgVAK0HXmKLOIKZ7aYeI92q2t/TVfYlV0u1dp239RLrDbs54FfbMqs/Z
1IworxCNQTa6FW2sbv++xv9Qt5zKW6qEk3KLf/nQgBoHwTuunGlArYOwGDsN5r2DHPSBOZB9teAN
rdBGGOXXFVvCDIFLIp7cJA9hAMwz6YLKmdZPcup/39r4TMBuKYVpWDFb/nWLyWInxQq4uiGrsrkq
8zH2p2nevhl204RLtxFd3VXJZwqaP21sDuJUhpoMwDj4/HrVHl5ZO+O6AJ5VqSAxRb2jjvpmLIb8
ZAuFH/Th0EN8CFQ/lgKHYlShH74goXCDR5CNFna6LI8SvbLfWktyx3YzXWQyywn2S5X5Wo5DtZty
Me2bWtr0grv8DkN8+xWWRPqtXUz9xtFI2MYRZH8Gh/vtSHL6jCwM5FA8K8bH/lyc4PptEdCFnSiX
m0n02lfS7OI3vP7biS+bpfqezNXlx8RHe1nNbdj/fWn+9sh8+AAfjmK9qmUq7FoLp6lEbp56j9uc
ftaF/G1LOF2EAoyDNWQg9Bq//ugQf0Q+8p4B5KFdMMo7FqVVB4tmXfQCg68t7sTQf3I++OOvjwr2
hDxnhPVx2KA6skodLdNCWAh4Q1VSJWx7Tk812+3Jt9Je/n4jPwhjaZudvqSUp1M2VZgtP7RahYaC
kSSjOHT16ZRzmogwH7wFo2Bu9z+WuereYVkKxH1EIK+kf186pCH9/UP89nSdPgMHhpNeA4jdxxpm
YZ2lxAFpYYZKFoRp0jEB1cXV1E7t/d8v9ceF849LfTh/MeNMEMywcCCE2MfcxUNfGeXh7xf5048I
BZQoO+D8J+L7rwtnJQFqSbRcC02zTOOo3tpNAtCV+j6uBv0ZV5z14+9X/G1XpJrlLoHmPcklsTP8
ekUNFC4qrM6jmxQP54Ys10sAy+VtuSTEQG7A/3b1Jqrw/+6qH7aqAhbNXK69F86eR8QpAqMfZpcQ
yz14cwissL3Q1iH+5HX5+y/I2wVR4MkgJNBIfLi5XbFtzpKacWgDnDq3dRA+hpGUn3R6fn/2uQra
FI444OO4zq83VLG9yM2c47D0jNX30hndfWozsc0URGNEtlWyr4gzwq6Xl9kn6+f3igusnJQO0nt6
5ye8/a9XJ1ayXrCzx+HqmfnVcCqzgrkeuwfHGi5IZDNItOras3VI3XvoA94bJZq+c5jlH1dJaILd
kff399/6Tzfk5JpDR3qaH8vTK+EfhxSywbK+7rs4hGsgUfo1xWFxLecp7o0xDmxSuC+BPKoqrM3t
M4I3wgj+9l/qPHYIXCJggiRS1t8kocqoViwacxKl1ijPk5OqLUiWZpui3G11neqf00/jtuI6T4yF
BHQxLlhFMlXqPHgmmOlEaj2xqKJzxJ7QsczCKKOXz7zt02cGsDdNbJGN1DL8saN0SMFipoVV14EX
N3B+aEivWRRnjf0CbsBL94vVwP33mqG/6fTYsv1aM9Qt1Cj9erL6IvNxN/dwqGhfNL43wBQJu0HO
js/YDL30VFmIklpwyrpf9bP1DbfF8qNGfX/hbcXgRYXb58/LKEiSqpny0mdfNvveatfmqUcCw/eB
ofckCDS5jGeXZDqy0Wq8r5bgnzU5OmtAtHGJCx7B+9dtXIiqE86owY3NWyfD6NLYy9HVZ3jwY9yv
aWA0ql1ohmfjwavKTgQuSbTUwE47EZMnzBUZu95379hCkyR0ug2gOtU0Ubj1lEewsTIrdFrZpLca
LLSggrAkHwpr7YmOBmPT1wG9JEkeo5DaQe8SDw1GPfVkzbVb1bvmo8GsiMLI5ftVXSiRC3QqEOR/
P2aJxYgjk3rzYKQJYMb95I5lxWBQgbCvrbRL8UQRthkZKTivQI9hr4TCmYye2L2USYnW6e7buKTF
az8z/CJY2OtKaAn2smGikYJT91SQwleJhbp/I954CAw3W77PwtJvgTi431NVuKOvkyxBqr2WJEMo
cTBsT4OsErXD0RoXhwFEwUy2mj62/oLvFbuJoTkkRk6SY1u3DvO9MdS0cgwYjn3YDoKq1Sw6ct5K
izjhyMWjth05O8uRSYRdpn4rV5Ow9tRKtChLDNRAI7yIH2vHGljEbNBesZP+hk5LT9O0cOPBVxwd
tF1exiNL3ZqdK2zsmx3A5+rNIG0EiIaWGU5TOgPOJlgn3xgHuHm4Wm5y11nsPYCBwFnNyBnJryfU
uaMCsNBdaaIqXtY64Xgw92Z5zfFS3o7EON4jSmhJn+uIrIfdWxs3a9uB5h3MpYdmaQmYGV0MfX6n
XLL1fAMxwewPIIkKn1/OSSNPLPoXk4ftkU7PrCJh0tEJtsTpz7Je12c/F43dh5yPlncGzvOb5Q38
RUwD8RhqVbFZWPHm7Z7Ed/2ewaf5KugLpn4+k7Xor9PWP9TlIJaIJupsowqOAaOYU6af+LMreYm0
S7LvoxWvR/JCUujyZZbexLa5jEfIe9Wx0Nqh3g+89SV8jXTpQz3VFLpB1eWMyRNE4B1TwuRCDvZy
pwGFet3mQtyIwR3Tg5OnGBjLuBBhFUsTcgVVyqUNPmvxy9p1v6rJSyzWnwK2DZjE3Hy0gXkVyhWz
EuyH1Nnoi6c2lDfdGqZwrS37O7TZrbyZNSvJgiTNNXUgHB3uQklNZ/mueQpJT/ui/tLBnPxixIn1
NGig8H2968lKcknFepU5RAt/NeOW1kVLBGJQVSqmd5cV9RjQaUx4x42CM1lvpXuVW+rBWQrzMJC8
io3Tsza/3Y4T+d/vC8naMCqLMn9JhZ6tftoWPRuwECfOR9I+AJ8jGm6UzvhC7oRjHBzhru5pY5hI
Ap+K9FFPHOfRzEG07GyZL0NIUni1fKFrZi3hvNiiiNYsNW+XLJ6XPQ9FzKfOLH36Stx4aQbViqIa
YkY2uOdZAgLvLLZJrdmVPZ0p3xgWht1kUY6Nb66xqwWthkCJLNiyIDUmnZoSxsyiH0lWI6jdoX2u
0Xcu9FdodtsECbKpDB+Gz5jR4qLK8XNn1tfQBR1ehsvUNgbWfhMXRa2LwvFlO7qv8zIkT7ZIEH5t
QxqTxTVPWMzWBbxjWOQOQWgNWY+ktYJ0FwegzYq0MCeXAXaQYjoYpWM9mdo8xYR+O311Nrjz1ILd
01OCHS39FO+okoQcez2uiFV1Fm2fpoP+wyStHvjYohfTRSkq1fsy50QdTAC14kdCN4b6xjKZg+yh
gI0z6yUBqgWTxobieYJ1hKUs1MtEpEntryIrvMCwusE41C32uEcSHqfq21hAfQxbuWS1XzlDe25M
ntonTuY86p23vdicQK2IHdQmSdWKs2fH6nH05gprxBW8MKuJCruu83dyRUqSvEzs1CgSPAaj+lTS
q7XIevWLrZ28wHUJ+521wavow9CaCMsiJ01iM9PsFb3fcrVVsOTuWNqqCdOkNQ65kWlfe9uepjNr
ips3nVlJEeA03mp/JKaCvcMbvc06ZlPJS4D00tFg4/WUvVMIfESECBM1AV6DkXja1Vmfs2o0ngjW
jNsgyQr2CY1zyBv584TMZ0VPEjyBtJDS7dF+SEDTvXSDPVOyWwv1gDaANSAWM8/HIO+L9NmCdJYE
TTHUjxUyIjPsmtn4oXXz+F0BA/uCX1rx4HV2fu7GvcuRgSDR2fc2QpXJ99Tbc+KOl3pXg95L9qWb
lWdCDM7qL3Vt39BIKV9N2E9XvahNAsLWphkfrT7PLsd6s/qQiLruauBPxT7D2daJdKI33lPLSNMg
y+tKwD6YOc45Mp+/mwb5LyEB585F3urt69TA4yD6CAJhNK8jBmTZLOJ8rOGPnmXZ1o17uy00GRhl
baIzmdArB/acsn962yb6HcYb+xYC0nIf13Lt925LiMbVvNlKho6iDcoxbvJcpgqsax8LSNPxJkXW
Tl6NqIlywTIWB5CO1rdirEl9s/KKZJmZ+3KpuQ2SaLfBM47VvGzmoMuXY2z2Cnpv9d2aQUMGbWdr
l6WVktO2MbYRysHdnLGEeNvQQ5r36dgU56VsO/Aqnsq/NDyPYzBPWpmFdd9OW1COtvYiB4OHUIzp
8Nav6yKCmQpeRADu5bFuTunRvabjrjSQz70RqrzXwfzgYefz+lVlmvu86fXhvVrcRI+yqjQzAIJV
zNxi8U6OVAoEEVTdEGe8/N3taBHaAuiVTNxzUlXTK7RjdRHqo2vfAWTyaTOSEAtAl28NOYzjsd3B
VwmV2ZY4AueG1zd51A28oFJTK7bmtu4iq0mWc5kDu9znGsKByFWJQQKL4MQaQgVxo65quhEmT9Z9
gwo6/ZCAm0a/Tpzq0sNqIwBazcjwyzV3dGxRUqsCyqbeCnpz6yFHLRiw/TimUecbnUimAKtmQS6O
w8bpewzv8bcLUQ8RxHgyuCmyzM+61j/HAr8WEqeIBwJhXaTlJiyQX8uYqkfNWa6pFuJJSbEIUce0
ftw37TmkLWBqzmodLZJpmZSQLyDdUd2ITXbhUmbxfeY02pkGwxKWWeLeVZsnaEyTdl73s/DFPAO6
BZm+J+rRDFRN1DjMAcTrm5J+XgwbEcvd49/Lsj/0b/CXYmrGX6MDp/hon++2eVPxqMfhSbe/h31L
PJexAWdtbXHpeIT6ku+bX3HATu1gwbp1NUxO+okW6vcGDuZ5Cnrqs9PN/dgodhc4cfNSeqFtlmOg
9Hy6Y6/hOF6v3X9emP9yqQ91qEaAdtfkdDqGWksPaWEM91pSGrQ3qn5fwhH1t7Z7sDkeP//9Tv+h
74DBBy8VsZrw2n+WqP8ogJ3K7hVzb4+6ojejsii6SAO18UmZ/cc7iZyZChv1I6iaX9fnBq1MlqRX
hjjEqucKVvngSxxse7pun7p0/nwxymk6gCQ6fhwTerzRwTfRv7HzpQnBtpU8jOadt1I3/f3m/V6/
s0BoZvzXlU7//R83r6n6FPU5vxoDseWQunFzkKfUQyibKHeTVpEiXqQPf7/o7224U3YJ6oGfuXhI
nX69qJhUnLbl5BGM2RsEf7lFmOlXaXthxPFnFqzTsvuwr/DSYdhK297BRPzhC/Z10oyDW3lh3Jn2
d+UNwKwsMdr3zUJEXjln9UNaW+WLOW3GfmmE+fT37/qH1Unr9JQERL+ageiHdaOcmGO3Sd/YMpX7
BJZpClwrm//nOO7/Aa3o/zCc4nTlr/8IuPj3J/n/Ejvx38CLTvKG/x5e5AOMnLO3f8KLTv/Dv+FF
wv2XjQf3lA3NcqfG4mf6N7zI8f4F2w37LKgZfHoMd/4XvEjjPxGfhcjiNEs9ddf4G/8LX2Sa/8JV
SOIiAyGUNqf/7z8gGNG+PI1G/rFSaUfzVDCap7tIzIH5USknFZW7slwd8nDPfD52tqZyEEf000xK
Q2aqB80sVv3ollC9YQg2zsbWYNjru1hH+z1J2th9Jc8yh/TssR0HxKKsuU9YQmJByyaFUtAz0Oq7
sfHSbKe3LcJ8f8w9kZxQlzBrmm2tjesTjxuWydKqzRe9JboLXW9sAEZseql6qI1WXKpcdfUhnnvR
WBHF9LbYwcYLYIjGGb/qU9l05JnaXQNpnnmc+oHhdXzNk950dxLTKwh+14lqVeRh7GVXi24tD/0E
MyVOGzfK8uZam+whKqoJ2ueaPTnT1HylfSXCYe6b0E3Wd+Qg1jkdl2OiJ5Ar3Fn3U2oewMtFh7Ki
rf22Muz9lmvn7OnteVEIuHRJMe4MYoHO1tk7F4Mor62Cg1KYoqF3LfsWuG0WQo3twhP2E6ffCIui
QBymo28MGze9pZ1F/Zj3V2Ja0rMxXfv7aeaEThNUnjGxNQNjFeOOPeZ7XeF4NDr3OnFEf9bN2pE2
3A9DW28tUZxyMxNtBy3ysYQjs1dzsu1coCC3xDq9exxVgt4r7dCm/n8Egt5HDNfrKNeLd7pQr0QH
WD7rstk7+vYV0Zd2rVtAhcwMQj26hSUsJImNZpPN94U3vaw8BHdty1ftpTbR2kioNM21eM1YAYes
ddqI8L8lGHupAiM5lXzSVdPykJFHoH9TW1c8mbOe5X6ncP7dg+yHRutVsXUc6FVa35DQI6Ttm0bT
gsGiX2Je5RlAbnJWxcjRS3P0C2CS4PQB5nTpMZ2ke68tY21w5F61uTylHnWZwfY8G3KdLuVIb+XG
XUdPNhEn+VrIH62ejOt6kbjT4Jk3FOcaBbavUDdlx6EXhEzYmzt3+w7MUxrZyTbdJXrbrOey0Y0+
TLTeuFetMN/czZXEXW3LAetOd4vWE/CIGnqiE4RLPXASTc1jnAbIgZ0Xlq1Fx2WiwWThyfVHvRo5
4qDQ7eO8/WEl1um4XVMGIZhwjqpOVujVhTsMACriUhuehgyCYODmwPOLuTaDJFHZlbFYNwlw4hB+
fEX3RZsz36PnZodFnLOKpZra+ZzzBeAA0yjX1t0PnUZq7bC6JPcli3au0L4dpIeAy46FRZ6ltp5w
f62fZnE3XAxtl/SHoe1znXMZ3C5K6WL13r20iw+lmMHoqxSilU+bIz5MMcXW2g2Pad8A8FJN6suK
JA8fHKvarVNLVFfjrHtX0wyc04a3a2St7+yuHyESQ7mVsSSiFPQpON7sBdC35sdj3Z0ZSmhhn3cb
oSkUHF6dFbdZvm3Hwa6kTTY4ECx5PWRmdt5DMTxrk54HVqA4lTpgb8Im+hew7tp5MxLap5pRXspN
5W9JQnMDc3cbAdvlZlgJ/FVx+iPbaUar7HJPo0Tuh4H2NM0CNzuX/UyZ1/Qoy01tOCuRiRL9gZJk
yFrvotg8edVA2w9JJ9YPup3l5ypV2jlKUvsxE/oYDEk6+MPQl9G65WekbHb3Os+J//OSBT3Xe3uN
pa8DD+BTeU/UXtx1RayAE/JzcN1s7F9+/oLN0OqHZtksNKinv0Fz1Pd+6euDqNK3otGy80XZ2rFv
UnWWUI4/UIzzx3IVX48jlE0Dk2aQgrg+q+dx3A1Ec5/LDm+K0htvL6aCHnrrWfRpSV1Ty2pedy4d
XFmyejICqIlQcL5IQERvP6/feE76rFyHQO+BP3EaBVz9vIc4B5cHfalGvKd2ulwmpUifdR69b8kg
5CV9fuvbko/67VC6+RvjTSINUE69FUxcXmqGHu9LNVdh5SaT6YOgZutbBudLYWhwIRLNe3BJKrnv
Aeg+ZW1KwEbhMadBZkJjtpYXynCKoDKl+oFeLrksBumee8ZG06uvvVY+o/H1NPcMcBsdtdM9Bo3H
o7415Xy0FqfNUzigNIAbHzMZfRS/bKfxiIps6P3WFcWZRrH5MGTCOi4ujrFROddEU97DmrpbnfqA
IHALG6miVKi9WQ5nNWdjc1oPk2W9t1I2gZ4ndiiToT7CHGfxt/KaKBQWujRuZLI9U203gVV0fdA6
drFjsj3sN23UQjpQLCZMzrusZ/rkJUOxsyfRRnEjLTqRp/G0lkHLJwrGr2Rqnw9WM+z1tIYsTRpD
4NCn8t1EJIfeYYkPjBiMYB3GN7czzIA5wezHan1ChJZx/5uHwoxfpz7+KgD0h4jZ741edVe8S7yA
Bk59QGtaRTlZi9HqshVPW+pFM4SAA8oX55Hz8RKa6Ta8rOnYRu7saud9Nmt7QhrTqO6NZe8M6Znh
dSsbty1/LPqw21b3oBuzX62l4pWVbXcDsJpzrV/2A3EUs3KssF2N4tosNPeyFUsaSjUmRFJk8nwF
pRoUNLKqygHa3aaPMVpGevswuVSH8WbMnzHN7lvHJLgQrvQe8/vmd0bxFfQCAlwk2EHZmP2PETW4
r9mDHtJmRhOVgR0pjfWwTVoXTcKtIh0XJdNxL9BodO0Suzmz19kM6ZqUF0nZis5X1RI2tZJRXaZs
g8LVjrPOoAA70xnPa77XltWJJgMwnnfaqwmNJGimfsvXbOGlOFq3ihphn6g5DgRJvjeVGLs7Y3BU
YLmlHtaylFBYXXOf1KtFxzleGp+e1hImoNehZRnuFpYwyg4zvthbxgZnnAYlwSDEHJ0V0F7hpbZp
drWRKHjtlUa1Y6+eYROvmn7by7h/7lfboXE5Z9OZzFwv5EAqGVo2vEac1RyPrhd/y2a5XsW0FS/1
mtKzIe4hlG1b3WZ61wQbfPgzg5d0FFdQpXnlOWMY25O1792C9Uon8SrWa0LB9Lx/qNrChjipIQKb
mE2+1l6t7V2USeEiAElvW6LO5rlyjqtF+Ha2dNp5VkmCY+rBIFohdw+K/erbMjUtSzLXrmnJzSzT
pLgwvH7bsS8aZ4wO19R3FrUEjM28KtxsNhnY1hZxGONqdrwOXSY3yF1XrAUg+nwTudpFtrlJ6LYu
8+WqaS8BPvVhXhTlDgSx5hP02d/XKiuC1eLECGKBUUDhrq+zybgWIWmGWLdnNEd1oEJXAHCqF5V+
ZyAmIsXwdd91sM38FJtaNJ1q97Fq4WlyUg/jTa03rTK92zYeTkfoZYcVSbtSjYq/8hcXN54aS7BQ
7P+zPm6PKGX3TmyPjDEIr92Ud7QULUgHqcP3xKycb7J19b2G3bprE+rpwrIPWc7QUcSx2i9Grngh
Om4Wpk08cj7mnSTz+IdXVVnklK7r805+gVE/XBp91tzaRe3RKWueugxWW5vqy7GmL/7gcWQM0WVk
Z06Dqt0aOYCO6+RE+cpfJN36B2/0O7zOEJV4ldE9lFezN93hiiGMGgY6D5Eyp0Pf8zaJvbS6Ja8n
IxNsYVdDS/9cepgHONofEzF8c73pq86UJSCnxwqJBGdYqgxeZgkcuZHtkgSx2czfHUVjZkryNxcS
/E6hbYfK0V33PGN+gd+SIcnEm7YlAJWjxhAk0jF9p2BgrMf6Fs2je1nVtXlBLVLtEQXDXyfW7kmn
pscB6pUoG7BbBMDGRo7KZuBx+vantFG7pWYfxQ1Dj1Wr212mm28yL/l+uV6/jacVwSH+uLZpijiw
8YBrZ+0t3Wb6KuQbnVdpUfMzIZoheWk+TvqyBZm+3kO3cg521+mMZphBz4Mqw7i0iZNx3mQ5POa1
be50t9iidZzQIBSOthuIc2GAWBY89Ft7p7mcKWUiTz/qdyuTrp91znSTNGqJxqL7rgaNg24H2bRv
a6aqEGfuzdSdbmetPk3hMsc8bieGmOhkzmKb4qcBoHmLvlMxLea0RIDs1p0VWW/vPTclVqT0vs6T
WQSFA0ACmnvlD70Zn8286g6lpT0UjXVmabI7xrbSD6OVOddz0V1q9EX3GtTWI4iEBAsqSglp0/Qd
Es/ZkVZmMiIftr3iNvq8tq0aWfNEMJlAP8l5Mg9HTOh3cWppz2qsc3+Ol9u1nt6MrS0fSTfxmfm0
d4Nm5Q+JTVd/tnuSneJ22C1S/9YhpTx6lmIvdDvyA7TrTW+uKmhTSnLSQtrX0rTNoWE41XpmNBbB
tl76XizZhc59fY4NR9BF7vgdDcJJygzsqzMjdQFXG9ClX0NRDmU0437ZixELi48l1r5Q9ljfKVuO
u07Lu2Alhc4vzEIn8GwbD0W5xZFdJ975HCccz7RXt06nS9ebAa8RAvM9zmX/ZGUGg+gq80gKU+LA
/gUHrWjjJ7jL9VWZ6Wq/OSK+VIbGKyyGaacWWYZWxpkn5mY6zCdvlGvVxL4M4jprgAQHTtMMAamZ
6lKMRerX2DQvUftXQVpN41XO5hykTM38jeCCq8xcq33fLtDUDKr4INW3bzUxbmFOrMstufPanrR1
BlVz5virPQoK7256Z5S5cHwzmWQazjpQ9aQ1As7xHT0XJyUXaQZDJHPvZGK6aHiwybczvohNVahU
MIVlgmQ43V0564zoWFWZnMZIxPywZz9DN+73iiCTBzzd+m0yjzZpQC3NhUXhV/e8LZiTNTnP6uJ2
7jaNORaD6Nosn2WWOgdptyJsZ4Dp5djNZ4oYO1+mnWLbcDICF9YlvuHbZRGpNVf2VjGnmCwl7rfc
/tITx+AvTpFOiBds76au6y3KPHN4b+hTB3UuuemVERdMyjiJTFPdcT5zJn9TSXkQo6af104eh3Ki
huK04d3aVjnfD9LEAUv72QSTaq13aUNkBbUw2VO1SDn/5dMFJeoYgVJxz+bUGMKpV8VD41XNnVUj
QfRt9tlLXG7boSrH/txqRHE1xXL+ti5kalpVZwISKJP7Cl0NcUSyjpaGCdpo0RZuvAlLUV+3xA8V
3RcdrQdzWZTG0KPB/xkdmwuq2/RpSPNbeO2XNsV/kuqvpWiHR0k7KyhMtyQKh7Nr7cXdflvEY0aI
V1SItXrpzLK7AJUsfctQ2XPXuuXFBF76zDC2t96c2wjNzLqfEPxf2KL+rnuzcZ6odLsgVwQAkz0t
B6sgEWXbJnJsJI8cgQLDwa6NJBIa1sw2Tr42mKajOI/f526YsLxXlz3l17ANzXWPUOvWdVbnR+xA
lrOIPLwYOfHdan2c7d1s2jKfoKv2ta5FecGty0K3lPYe0KIX6no63Locxm/AxVkHiSvynDFsQ94r
+Xi+6CaCfhweltM9in0QaUQitPFWuzwQnoFaxRGwLbs1Q9qLVlylw3KgL+3uFd28wBOVwhmEJIJw
Du3Fa2M70AVMOuK7qvtNoQtJGKlzY9Lu2HIcwvlKj9HPQQdQ9wiTRWgtAvVHN6cRAVDzvrHyNCL3
pLsq8im+IsNsCDjQIhFcavu1WflQw5zkSIz0zjmYbVfdbRyrozo1tEeHgXKU9suInMgt9vWpS4A/
W99pOW/btdDPvE4fD3yu9MxbaCbRaygvbfyj+8Qesx8EbUFid1uDvK6xPLhNNeznrlq/DC2bj554
8L/Z+OyvjtlZQdts8g0ZWBHlbT0RBDjKgzPUzW6lbfNS6tMaYRBLIH5No/GNJKP6aZQt8imiLr07
o5X6dUegydfaG+NIzODXRqax3wGO12FSrElI4ujiT2te77yJDo1J3gENlKV9ogUVv4MMb67iHOR3
PbrNBRllXZCoWn3NvOnZIuPjSuFUPUzjwMFGeEvzujJNvTMXXfk2sXdfZAaWRM22fJ+zLT1vNX0+
ECNRVMGiVuduIKfvfkaKq5iIE01dnQrtetWOzcJIHxw5A+eWl1CTUjX7SfU/2DuTJbmxK02/Slnt
kYZ5WFQvAIc73GMeGIzgBhZkMDHei/Fievr+PEsSyagk2epdm/VGMlNK8nA4cHHOP0qd9vDG8K8o
iywu6HIpPlvVXKPnqouM/HBTlLdjT1oI9rKyDV0Khxkeeu/acs+pKDRdFO0hR6waFsKNNRwuO7v1
BgtdGfLCqjSmCwJku6NNsgm7WtYFNxQ2evegbfTQtVX2WpsdWkC83EXYzxvdMbk/fRRGpqNE4/3f
g7k92ugrLgJXabt61cw9hqv51BQFEhZLUs2oadpXFDkiNPXiduiy6dbEYHVqyD2M3KqhL9nozqnE
2xXp1NlhAm+8LD2sNBo/G0PpGtyaC7nJFaQgzUV1e9WmenribBXX8I6EUTp4q3g8kOqt2fgWMAi1
TfbZMoPPmqM/2ICrl5qUH2l1OVe7MQ9N+rTTHTxqHreJn5u0XyoVEZ/3yUVDWdcQ/L0laCj1pvpx
JJSGKcjc6ZX3AT1EESHjRyy1ZnvDwHw5Y5TZGTwNsYVwxGGQpXAyx3ZXm+Sy0p0oyXWmomPiiG9R
NbZre5qabHzoNZ/bZqiupjwzOe7IuadSbI4oUTFPnWVOu3pcnzKpnhtsSBFhzTE1yPuGbTQ0Un26
MgwQxDQVCQ84gglDS6/acTR3GyD3hadLL1mMuuXCz4xrlp/taL70IhMzxRGTzZisy7Ae1h7JlB5U
p6ZPxyvWJGL9jcX+PHlliXiHN3+hsLU13ZxQbrC3J6uIzMLKDm2/2V9dve0f3Go4VzEQcDxT4sGk
UJeRRf9rMueLH2pjWaFWcEwy1ZEuMXNWV7MMwF7FWCNKdCRbZFk+K70SOy+39VtkOdpV0WlGGZab
smNeKcGN6wHxBsX0KIra2BnD2WS9ziLsRlp5O8ow952b5nfTCHqgo27c4e+7omHvTP4D3ypFt20w
uM2VBEvae/3MHmWxZPcN197XnYgSPu2EepZvxu3wuMj1PiCUJiymyg6ZO5n6uo6IZTYrM8gR06KV
jgoHNYtC0zN4BMnNZXM0m/JjO2RX2HLe2uksNkKIFuMgK8jqGe70FaXj5I1rhILHS5AuuDs985n+
HP+z7w4924p8BuLpokl3ubtMPz+uxNVFbXqe24W5h8pkHFMi1miSvptaixtgFkDSlk5ejb5GKFI6
tLETcQWB1fjhMvs3OQ838vC2iIkgE0dfeJfjOOwHs3mez70Ea+2xBneI3ezi41AWTcz6kIYu9NC+
s7eBXCe3g92gOAJy4soum8fFoYfM68FkpeVeyoA4FKuHMZB5Psed5S3xJpYiLv2WGmpSErq8HRC8
LGZIs7L16GnDC2JLdg/Y9SjTMF2Otn6RNpWKytWfsXf7w4Xtzx+GNSgAtxp9L1r9ufSJ/6Uoc0pc
FTw2LiNXN1rLFeoz+nXZRQ+B1Vonys3uPbeFHVnq6boGGacIAilQHDRLsXfkug/M6dOUB0hVgUTo
oj5w0isijvEnI+v2j2qp9EfGx/JQBF82GGfwOwkArQePzJEfs2K5YdFoaNlo8odCybcVPue6Mjwd
CaAnUZUab17qATS1O514eaMfaebrNpnMliL41ccCzHzOmcYt4VHze6DqIoUvkfvabt+mURzzxvyQ
dqlN3pV+vyHZOZWZKC97wWaLLHVnBvLVpd06pFaS4Ohigtqig+1YWQ7jRcrrQ5O+vNzK8sSWlJ1m
T28PpmZ8qY2zCrR4nYrCONHJbSSIHOtEBDVMEgPrRTZmzsFiVLvU3arP2avnZGiCKV7dLbhZLfPN
ElNNtp65HBsNv6GTt+2d5aO79mXe7LJc5RHLe3+XbeZ6kFK9UEMriss5m8kdfORIn4+1QLhr1Wo9
0M3JY+E22ad2aY2dahA/b/qAasa3j+NMn/maauVucKaDJcWxnrcXoYzLIVP7zVqWsFvUiRSXm0Zx
AxZOWu2NunxZG/uO631cSEA9S/hxBPCaQ7Mdg7oehqp4WIZ0R/FgFndKprdFzn9pUuKi74YVlWB7
D9N2by1o5Mz82GIXRyVWhbxrYkNM/IVdO9I5TQuZym9VgCAx41Fvl2NVWTn/VL1VNaqtVDM+D0I/
OjwNE7fGYVblVav7R830H1DF1tFkixPy1JNjVbFnY/EMKvN2KZGxwq+pMPhLiqfrp7oZAvbJzn3K
e/mMLY7xV7Yv3aLdOhXie1Q4dpev0bAZxxkmMmdbjOF522dKD67zFOm4oAXQGRBStR/0XBUsLsFe
uta1ZWB3NdbVPKogXa9JP02asUij3seJUQhqlIsVrsvUih0FiZ83XHMnDQnpadJmxZiVPjvnycLR
mKBcKsBd1dBIiMI2rtflReT6HGOevjJZWxzasWM8LJwNPEd14MHgNsFNBoGw9zvvlPl5cIHAFQ3d
ijLzI4AYWZwZca8yHWfUYPpFtzHHuayasXDHYg/U0D7b/TreLp5dnkgRKK4CbWtBEhDUZ8KlW89y
D+AsCLEHzd2PZj3x5HqqfbKJdPlsdwzsA83fO25yWb+Sxcu2zlxtp5z5rbVqsT701BMyymlt9ea6
kx2JIsshZHS1o9Y2m5i/4HSFjpo4BXrKJ9uLLX4ZjM5lLAOLtzejiZ0a6JT72FEgyRloRjF5D3gq
qgT/yBTbg/piVxXIAyQVmAWu2uLILxgxDTaA6kruOsrVOTQc52TOZOwId4LS0Pa5Wp/sVJ46rxoR
p2M7pcgkNr22jkTaPdW5up0n8wNUaBW6Lfy/hgNj1xlZf5Rbv+Ih9b/0WWewmOvqMJVu86iayTv5
dnk/bgSRpoG1V52VRkQ9rKEic9xstzbGN9Oc+mnbUVdPz5s0XkikHaK5a8vIAZwfbL26c/hFPdwg
oSgouKHU9rBCjCLMXokkC7CpIMnfLX56XYns3pOAFqirYfjzMeTtk0w5BqI0o29POZ8G3/ikkLlF
PZxiPLXExPXl+JQ16kug0zyaBlAprhNPdlZwH1u3FG60NPXhcahr/YtbFSLRXJ9IaA9+zqtyj9GB
mF9/I3ipri/6ccKASfQqZvoXrYGMQNLDqDhe99psHey8M/bb0N37KSEbgXM/ul5/ky3esuvTxb3E
0aN26Qi8PQneyhyf1smXFMnNWbODg85P41TY+83omiSoGNuhzwHTU5ZQ6odE1Gf+kxGUw7VsK+cq
H4uLQQ4q9mSWGCk90ja3oX5+0aQsGH1Z0YA8UNrD0zFVVg8CBINbmeXNrHskTg+6GZbeShVVUVR7
BWEf5yTRRpWPEwmqvDjWPqC17hLxq7EWhGk9XTq1/TBtkxsvznyHawSc0dOfhqHUQ0RiNv/S5Mdi
Ml+tBRijEVdjJkW8Eip7pWd2zQAa1JFhs6hQLMJ2IzRPguKy2BXAwiW4p/U0We1Si9sGebj1dTNb
DAQpLfJsMcQmTEerodfrYlk2RNRtN9TWFZys0UeGM1X9cfA1w7js2j7XWqCKDiYKiwBlzs6ABHIH
jt6/0rNUg9OPw7mhypiXuwEoqQ0LwMj5wD+cnauR/bOJa99d81ve72l/02vN+udWLX4fQ7W34PVk
W+gJuQB9tS9SOWVmuECVNBGJL2fxL55r4xL1BwOhu3r5S9fOmXU9Ypps701IMaZp7vuquFycolH3
U58GDK6ZSa69QqMkTxK9q9oH0N2A906AAaO1ukk/NC4urwe92ppKu8jAXtfreUn5ctS7A2mRYDCM
OKJLtoUwmCajWDD+z4v9TFn5pp8QD26Id8vFNsaYucf1bwrEE9zHs9Dc0NBoJ56NsqB8XPjBLWoK
/9r2jM9L59z6yNRDe5rcqHZlcRirYb73LdwIXdl2yZCmacntpLJPyPzbW63S8LD0ctzMyNR5l0a6
NPwjQo/7bfKcR5FVz1nv7bHeAICjFDeFmkhPtW79WbxZqdppKHBEWK69fQdx3pwyzW/9iNNQbU90
m/r+n1Pfm+fPn9yLQA4f5nZ0OWDyvZalX3JbGQdRe4eg7A/4JSLI+ktsEue6F+PsQaFVfnbzDRKm
AHX0zD3kRX0cJv6hLMftaIim3vVdgOzHG5enbnOStl+ai3Q0Wd4Yey9mseKqCBbzQjh5vvPOF0k6
BMdUbn/oNas5DijED7PVfpaaf52bgWBH6k4zfowD29HCAbdRWVWZTh5rGeeoa7aUUOY8IfPoGR/S
weM8Xkz3qqbuBf+PXJEylOlRm3r747pQEaTN28d2rN6wCrS7cekJ09nSxMPeFWVjIKNic8qPpLC/
matfHlWjrhuvr6hpmR/R2C8XE8jXXXc2pDqz1+/LQv8kR4m/IB94y1j0TIf91mb7kgVN0pBeNq8e
nrcdHoG9vcCTL/lwTMd8iSXaNZYqrIlGt54g7awEMbLaoRNvY9uY10Od1S5Tgves8pJNWQ7LXWak
bug6IouQbZbAxyleKUTMV77X39vSbx/JH8WPojb3Dk1fkNBkScB5WXdf0rmuSHkKaLbsnAVuBuvL
MKHx6vuBXaKEqc17Mwupc8dzGVhaqPpOHnnawV19/6JATPPWQRwA7m+xJed5u/EpY4tkFVAm5mgm
VSPVS+Wyfw4Fr7bGLB+qcsKB5S9+DA37sC0CcX2VQusGHdOgp0YEyKJcnhrbEgwzaKROEN5qRWnB
tT/XWK5OiJd2e0UeZn6uA3wtd2PAcmiC6qOTrgmtuPVX0l33lJ7qJ6cU7edtCsADiZ/unEu7Jrk5
0mr7Y1UYBQxj035A2eZcIHpUkWZBcOKmO23nIysch7S6sv1WQofJSyxJTdTpYC5t0A67+TzcGIO2
Jcwc5VNZtWcPRD6fzCFdThxgDNZ+WldR33IfxDLt5xyHh8HUNci51U8kUvH0WaNa/DeWPom5QzlB
TEEuhRJBtWvsbj4tBE7fU183nHwlzN2Sa+5tIJZ1DydRXo9rLu/zVn7By2Ve8RDTHCJq7a6pxB1p
je2x7zX7AVrkAHT81ekJTdL6krYMh6Nws+27Vhlq2hVGqpHBnJUpapt8Gy98N/tk1c0HmEfMeMUW
q07XjmXKimwWxf1SQeTZK9gU7+HE7yztq8SPGDUBZeA4rkpTNhFxJfORE2LvOOiIfB6SWGjlqrjJ
KxvPRWqcYyeqK1J+HqYAbk+vsb6aMAGmPV+09mgeTQvHS0q3GlaLeb/5FdeeGNDilkx9nKiBhI8c
cw/vKUESDgKBDyaetOuMyquBxXAgtLTs9cjzzfGIeXYNBzoqP2xl9XTO94lm1b2xAI33SPBQOTTz
Q86xu6G7WpavZAc+AhAVewXfAlN/nwk9j9Iey06r5kdG0DIUOudEh7d2T7Llxy0QBFbb9XxKB52f
xhjhxGdXnreLuZ8Jfw7XJRjLy8xxnBAC3ftgVa59Vc9OTQBhUByWwIxLdEBrIOgxAsrns8G3/HID
B1duEwv0teOll9NcuDcN7bPSfTcGJ/KP5oL621erzVPHHZYa6FTmnu509Fz4VUrHTSzUAXPojutI
iFJlXOOR+YRlfCbj2KgOdTmsZIxlZN0V/XBtLZ0dTrp8k9yPu1YV1QUuZ970QmZfccmgFOrieVz2
IPqXq8mTFnQP89QgZ4O0SEQ3XRK8sTOCKU+EhaDDGjeDYVwWEVGWBbe6OTD/BEgz3GbfQTQMKH+g
3k+BMhIFJUcgUU32OQ02PYqIoTQegmy89kR7KYjZABlrpn2LO3lDqelUJKl6Ks62oL0sy15DvkMv
p4NSiVy3DjY1m42dm6dN2BV+mgy93SYK4I3vi/CrCNYnYYxNVHs5cD5XqRoK+uNKLExqKe+1QXvS
xmqF3wow8zhLGo7zuvGqd24bMeGikg6cFox5QQbGhVbNco8YNIGqOyd2MZI3DUClVekT4gf/pc7x
N9uL9gX73wPmPzMagd/jqp8u57nU9tqExylcN9ZDQtO/nsHn47x5X41ytHGcudMYV4wKIZY16tC4
WFepVJIN5C/x9z9k6Lf/rZse/hJcfy9T/161/r/+z+p7/98VxJ+zL34uiN/3X+WX/D8OqniVP8ji
z/+zf8rijT9c7FbcqzYCePTN32Txjv0H6Y4EepC1gU7GcjBW/KPT1/mD9B3PorWACHC6uWw8FRDu
Y/5f/2n+wcnvGzpyeCKICMow/i1RvMOf9p0m3iHax4PmJeaHD/EdWOYfnSLdaGDClzPNF1k6VUel
UQMbISxjkwyGCrv4amLQiyiIYvubi25+sXrGP5izqqFrBtdb1Cw4lXc0lDQ6LIAu2LHh9w6Ovxr2
3rI8pnj4HRGPsMscyWZnx0O/+kFYIKqYIwAL9zVfOYLDsc+zm37QmmJPtQW+a+ggTUWpiTwG5pIg
6J1Chnps5n74M/AH8TSh227CMm1HJ9m8FM576vHqIWZTqX6w10FrDz0TThUNKVjMgyIy8TQP07BE
XPz+ZSzYdyN6rty7Dvryzs2qSSSCGeGt0tbuHuSxegmMbJrPxbvdc2aez23ElKV27cl5SWbdOiPU
kItfhdnoJgqzxvuiGjN/HmnXvAclF+tONN5mXoJDaBZTo9zSqBkc+wPJFVMV2YSeYAydNfFmmKkr
npBgu/4TCQsGC5pGaVLsG5P1OEmBwTLzPLRR+uYwMpL9W6OAcBced7VqQC6+Y7rFrQ60V4FEk8sZ
rsJS/Ir5tFhg/kjxkHfmQnCtqYc6KNkXwFtA1Sfb9Ls3Ak85f3VeBqjLvNVHUVUS/RRWKVICMpk3
dBvqHD1hlMOgTha2ApCPtt7EiTlhzlglVYd8W9AdQTWxU93Idhr4OU1XtLtOSKSiKIfHt5zRvr9U
FTb2I6HI/fOqa/6rNGf7zc3lIEJ86IArpZZ9rHXM4KChUnSxCfOqwgXhKMOnCJSHYGweBvQj+P6v
QBfsrxnThripusE29nmhkeIXTmIpP4ywEzZjPAQzqQmQUqGpuLYh7Z8wb7TNyLAIQAL3A+pV997z
2h6rOaL6I1Vf58QO4IaS14TbChSCXZY/0tSHOxgWaEXu1rU8Z9HkkGLdS13YWELB7MyGJE2Mp0sx
7Ei77p8JJTQIa+sZlnrh+ndNjhV0b01bLe4MsiIJSAmaWTvaSA3/7Ef0Uqeat1X+OgK1nen71PIu
iFLqM5Ap8meQ1JzLo7dauuleCqEhPRymFjnvtkgXZ25N/IZR52MABQKWF3VDV7cEmGdZediypngm
Rij/2hHEQMaxC2sMZK9jCO8tGA5+K6tJFieTd9TI2YS+1h1gxFpxv+8Kz95G5BI2joN2kb61w0A8
5TttCuw/NdQGLXfJeO6tKH1zYK7M5atnQLnC31n9QzVbtoZ0r0cBZWu1v0X0DtrdFaqvcYlN0k+M
nZbpuQinxlSnmf2QAUO4cIBmqxfJoklxWEqn7XdAVdPdBkb8DAvI+72vR/8aVDAlqSIwxkekCLnY
BaZVPWZkKlbQuAjhmNmC+3aszVudCuKr0tqsqM4AUXf8ObnaeXbQdLueTAg36ghIUDy0nfuJE7L4
GIzD8po6q+8ffRyxdcRJ3YnQWgoapNMqlTeY6FEDuLPJs5nJcr5da2CXUBgKeYFYq0oiaqVbDdeD
Az4xidlHA2pWajn7z70k21AehjkYxXKqU7VMaHZVyl0/+cgW0QR7/wj2/P9v9P/4KjnH1+Pbf/3n
Oaz0F2/017pCGvH2H8fh/G/D91638//yny917w+c1IRCIk+0zy/uby911/jD4nWP4ZPAqLPO5NtL
XXOMP3QDnwtySHqwPN7g/3qra475B1S7QY41/5c+P/u/5XV7l6SomYwc56HjvRu5J8shncBOk2px
bpZ8A+UfqwLKtLD2y9hbn/Sh0j54Vr08FxWHRFOg5hSt4aKOW1Y23zU46NuZsdRT44mR87dNIHz/
7+aNb3/ZO5dorpX6NOBEQaaYiwvTXlvqxnps6FgAr0yJa0fvydoDgdBDY1rrh9FCkqvlxt6kAJNM
vtSZInurM9RAtblPwXp2VjMYB6/xl7gmzez+u1/+H+Pt9+ni7+zl3/7S88T0nWFXb5TLaVlVmHWI
uLR6BZGhAZaRepWjlbXzC9deGjT7Oe3oDnJTsM+h+U0m608//Wxc/u7TLX9I2Yr6KtE7k7XBa2fY
7MyJ/Y63S5+PAkoQeiGf55aEpXm6cCF1fhPE+WPg2bdvfnbafvfZjcQ6QJFDlWw4AHD3ISm8ywhv
OWr4+CJnDvT7wirWIBw973dR3z8asr995rtUArBHHXLULBO8kmI/C0URoQ+ojcbr7Tc/6M++1rsR
17ddTejbDNtjZPnF1nY5nJJsHoVbzEm5pXlc2tUUBRn4lNcKmYhtGrFEbdcVaPa5dGkX2HIBjBo+
y861901hqsjQjPQ3P/pfxRvfDKrfLsLZuPrdhSeRv5FYFMrERO0XyaEoY9dvhn2NHz+xNl2eQAGq
UxYAcnqpmz9SBlHSZdwFcQOTzcObDSF5+94BkV5+0mfDvG5JHbmwunY96kNAHFsH6gE0NF7/+qr+
7Hd757oWw1yMNWB6sqWLiLC4EhSxlNNBtt7Drz/hr8bM/3lV3P/Rs51XWW2T95HQSFTTnmoBOkoS
1Jy6BVtlkELUUDQHQnEauu7W/ggGKU6TwAmjL8q483vqRfI+d26ainezlk/VxxHdW5K1uUq8Eqhj
om4iSresO1jEk8fL0kwHJzfA6gZlxFW9Rh0xWLFIU3M/jZu8wE7UHZeWQbB1+Mr9YCwXdmZDZFZN
i0AeSzR91FeISf39nPXWvxUK/c8bhFqsH2+QcnW2kpaVJsHqBZLWFvTsuVsf6u3q7X99uX9y8rB5
/vgZXe8BE68Ll9sDIKWAQ99NnNXRKNU1cccf57R/oftY7mZU3NgWrfU3P/TZB/437wbcLD9+cqul
yrN7u0mqwsWlB3ZpwzXg9mcTyqevAqUwGGFZey71m2tlR6o1gsMQUMwddu7i6MmGjrMJf3Mhfvbn
vDuCSVhEE9k4XGx6ly/nrQKdCQYYzHV1PIKS7JP0sxoxkoW8Bco91oyqoiGoQ1RqQz/+5s/40bX+
7Td/dxpP0uFx140mIS+wSKQJrVXRWgVZmX7oLCyYxXkhWvWRIXoGP91Ipzz4/qZ+8zb4ESH49vnv
TmZH122NNbdO4B7wMbCe7TAxdReScGYGVcqUf/1F//4koYf+x18/XX2erAkD3FQu4jCsLjL2lH4H
3egef/0J5zv47w6Sd8crxo9go8GvSqpRYYcnXxUPkhbwCxrqSOofWeJkPH789Yf97Dny3p2MShJv
L7otw9U4WPsVjuOurrDxbedTpzLcYWf6Vn7U7PZPpcj1c5dS/uZJ+iuU+2++6fv+KI+NfV27UTsU
6GpOQwvcoDf+9rJSa3jVGoaMHYslPtJypz+krZktXGbabvC5u85nHY4LDTUXPttZsD/X6NrxD/bO
qpLCmcVeQzacWKIw2ohEo/ZzpfvimZZnNFZKB0fRTMGo1smOiMDCXhe2FcKsbrrRDcbDry/vOf3h
73/Nd9eXVV5J5Gsy8V19fSPFWmYhIY7riewnLdgPDtcdiBbLFaQU2oI60/HvjSpdMKHZASk9PohJ
XLlt7x41tKBUDHPzFSNdFPXkV1dL3bsVq+uqfyGKMX3tRGooRORW+VKtg3rJEaqjlBvJ/aV1o0eO
QoALRDLvqjO1iOFglXlQYSYrvFs4kr6E+0Bxi4j1nKGwLubVoKb12kprU8UbMS3HesWAEOGY1La4
FqmHuxkv1rJzmYAPLrmyBiU3lrrFLQTaNHuSxAPHh5ew5ry8QCoNDLS4QjqhHEzt42r3FfiYJhDe
Bui/L9duyV4cxraLQpXL2TAmjdhxF9uKSghCfJ+s4UGoyrl0kZN7nRtDHGV7a0E1ezBJwnikhBdW
d5XN9qeWltqXuSyC2Ew130k6EhnvOh80AfJLsy/70g0e14Eeotiw06LlQ1dJwvYkTDusG9U/s/Fi
FEHSqVEKQVZeHwvf6p3LlTZcSxv5DwFOcP/Wp1rftBqjYAFZOrq4qyPDVOVrCfD0aBWiuqlAO46d
JHvKyc6uwbF3+OVRZ8OQTHWbr+AZ9lwkwzqQEQNGTw4a27Nz2CppPLvEwKL4BHevkM651Q1+yEA7
Eek1fG1cp/5zLtsAbZrX4iAhBTNmBmtiw3cmojdxFHdRJ8d0orVCiQq/zeI/Cn/jVzYQjd9LPG8i
dIgAbHAVCvdZ24oG4n6wq3M0aACd5U2GeJ5FIUGJtsI2YoLjyHPLzUwTSbDk1nO5ulNi+VWPJ60s
X3GiuV8E8ZnolLJmpcR81N0vAd5Ibe/ZLq6BEnQju3MLS3aR0WpYZCtwKiS0ldnc07cgnjKzkVm0
1ZihkqpT6OItY9T38JGSKphpwOmqUX+5L+Z+A0odXKh4AjUvB2cNUPMhPujDoi3IiHZ96kBC8ivU
HW4rRjKpdLJr/WIwH5StmdmuGE2bhu4VgRG5EO5OBDlJkX1AOEjfqB2oC8o+oMMx9Hsk537Jcoru
qNxegtXp0GAHmytxDSzjQ9c6iEEde0V1oquWuC1MbAd7gaqjpjwYYby5ryNMN9zs9Zj9CbfYkrzg
zGfc1CiduG+qDI5YbV2iBXh3Fwx3yHZGw32AZlfPva61YwzpxH3IrQNvuFgMQ65ulXdDnhc1amA3
+NzwrHWhV/feQ6pa+admDe4XP0PesMvXyfnarRb+KqNTGOswY00fSm0wsWgRr/h5nIYxj5zBkl+b
zC4/FM1QYw8GclXQVHgbQtKxViPsDCVfO3wf18qwzLMgAUu81qtHty9QDwxna/KIFQYnu6OlBrku
9KMMfpwt1A/AQqrizyXDSIKdzMFd5bSnDFUg0noBxriUonv1uJ1IYxWIXhKzEeW+mnOrxh3oWy/T
QPZKTLTTaYbZPHYEJQM0l0bXJj753PhR1nJJRrv2zCiFtv5cBX2LvH0o1y02s1K7TIdtxta1ZeI+
7eqFU3NsX3TDW8VJx01wVShrO3YqH73Qohr6yR5KfngVrP4lkmcU5VXfEYSqIbJVWUqUR8fjyw/Z
JbCSixvOKJtUFFRkNBo1pm3csTUHxbgWyYQNDmnFEgRfnUYv0ljUs/5FZGCXIfs6eQQyWNTnjo1A
7v2Ww5OUAhJZIhfg72oNmpEoP7cnUK0a2xKdjZfzsjwHE89aa7/owShep3rmtK0H0xJ467oCEVVV
cT8T1ZKmnOGcmVHRBch49Tx3LunC5jn89SvwJwPT+4j0brYUKHPPfDquiMSllR1r0vsIF7LS3a8/
4jxj/s0c4b3bBRYlBkHmYZOAQeL0G7HKZ+W6Jr/+f38XSfiv0fLMl32/7xabiZ7KM2WyoAMiKq+C
qgnAlRVeTuiQZnionRpO3yTzF9iB9L7Uck+qZzQM0LPtKwQCO99RRljaDXHlvAX39lYWT+3kGQdM
NwKx7VAkpeMRpoiJJ2b9306d7Q/Xel/a/5cjuvduU0DFPKXFuNUJeQ7lJZwMerIStW5p2jjtt9WI
h6w5P23BcOwYQw912i2XRjuZv5md/x5VQ3Xw44X0GONE5XdF4qylfkOtZXq1zG35rHUoFbBqDDsC
xLNEUzI/lFu2/mZXNH8yUXvvdgNU9zWRwXaRpGXZvRGMTLttgZDbyL25vVSWwLBLzCV2NYxn8we0
ecPryLoCHqlWlHZuW1lnjcbgkVSK0idesCXCO9kTbJSXTmhn7RL6xXCdiYrQoc4etVpkLPZ53QQx
BXzuizYu00V9tnWxpFspB4gtp9/8sj+7ru92Emm3JRE4jCC5WkymnvwMFLX1GKtlHpxw6VKHPdVs
afSUeirf8qFsflfz9bPH+922svWNxC3L/hBIV7y42bLG0BPk07dl+29Vrvzr+XvfaEAiltd3/lAy
uRFhUmriICRCz1wr3hZr9X5zEX/yRd43WGXeVmhZ11ZJMVn2ZQZpCplyDsl0GTJ/fZK8K4v/9k3e
HVSYf12tPktiLQybe0RU5BdgOGMEbyhP9Hj9RHhmVhyaAZpy1QTH2cddomdm+vU3f8L5nv+bs9J/
d5h5tDEiBtVrnrKxQfmyYq0IZH5LOHBx12VEPykA3Q/SkApoA6t32QnnjrQvLOmUlyTEV4nfLEc/
eSz98y/xHY4o+6zgxhyrRGNsDv1ahwbUSdNq6kaL0FyWsRes/0hGROiRfW1u//sbfg+U/+znfXf2
gIZ51CBnTaJ8a4ZNxy9F4K8WW33a3P/62v7sI94dM6ikGm/prTPIWJrogMgcTZ1q2lUz5RG//oif
vOn8d096uwZE1QNygyrikrKKodkNZHP/JiX2JxiK/+5Z9lMs1MIj4ajrnD5C6/FIXl9wMdQz4Tpr
Nv/mMfjJcfW+yUhOsy+pw5UJttot1kd9vq4z7SojkvBSoA+MZrJRIlc5jDhTav7m0v2V8Pk3d/6Z
IfvhdlvE/2bvTLbjRrYs+y85LsQCDIABGOQE3rOnSFEUJ1ikKKFvDf3X14ZHxCuKFU6u98ZvkLky
I0KCozPYvfecfUYjwiq8zwO9fsAvywlJLaEyQUI5P8ZgebFNgm6i6MXFi2UqC2Dq4c3F1hrUWooF
vFFQmIM4/YVuokTaSSHsK9k3GmRo0BVs6JaCWptYi+ciY8U37brcTVU+3FT52D864PCRqjJyPwjB
rGIdOFYU+IQE4/zSU0BEK0erEesK0F63RlpVDM6thvjusVX9bRx06UMx5UydrKIu509uyIkXUb7r
13rtwDQLRPs+KGmCZOlcbSvVzhcmeTarJE6TR7g14ScP2T/PN4hq+/02SAMRdOlW8T4V80/TbG+X
wHTKl+QKQ6KxU+6QPVnh3wKwk+/9qTVXvlvwdJnAUHQZUWHBujDcrrtF9or0Z1E6OCKutp2KvG3m
pc/B7OCnt1Pd7/ha33z8xp5YFOS7RQ6rXFahqU33lqKTBbwmXxvgA1CRZPEnA5lTh3i3tDWMXNyx
L6I9o7juEMRCX7XojM451rz++CxOPSHvljbwD2ledVoIpCUnxm2ocbfWdnpRNbCtxronM8WwtB8f
H+zU+bxb5Ao0ZlTubrindlQrd9DlASYr+KFRdzYfH+LESiffrXSRA9QHxUKKn9Epb+DCaJgSUZe3
5HTsgha7wsfHsU497e/af16LIF1r2B6hbi/Ok2oyV1iMg7WBDmVbaKZ22bkqPVN6d23w4t84Ms83
jlFWD10hjOdyyEGNRsbPghLDL0oyitxWvw+HBOSXL4G27LOoVn4Upt/mOJbbuc3CpUhGEayRJTtB
ndxqTbuLykVEVeWYnsCT0/fo02uIKj/w0U5UuJj9ExLm9tjOQckiyvW7kg3QKAEyFdzeTZA2fI4h
7p+nHRZkpYREZR08OS0IFKSv7ScP2qnXdZEZvl2loWyUKBkEVYBbUe7DfcfZ2TZyJbNSrpGguTu0
/Poep1Ww7etM+x6qugNYArDs43t24lm3362GZQ/BezaNcK8AFJLKMBd3syCESHS6QWAA+Tk+Dq7+
58dHE8sr9A+fJfvdeujUPQ6yKQ33WUtGlCMJgDWDYt5XqmkOA3FQu1biYohMBWTA6XM/HukJ5gKx
YxBLEr1GtO1AzlYqTxsSMxoAnLh8Niq35ifJqGUZESZrW2BRowxHn0S4xCev0alL9W5t9XoCs6Ch
hHtnHNXGFIXusxBNxHvY39o4jW/njAbHxxfq5JOxLBdvtovTkqab49Lei5xa3DInCGHwD16cfurP
YUH3Zz1OmvMoi6K7Ic0B00WJWtcxTvWPf8GJzZf9bp1NoFDGmt5ytotMbIqRbmHw1D/5CJ+axNjv
1thaNV5PbnC4D42Q9q0w4n05D82GeC/CT8bRgRYyCqRmYEYbuyYkx9LlJyXWcg3/6SF8t+TqxhwT
E8o2Rrfx+pUd4EM9TTDyEgjyyfmdWHLtd0suTafEmieiABwsxI9mIMZLJG8/lDsXPaZ8/LAf36Vj
6uc/ncu7JdedCuRE0on2oPkIWvNG8Mog4M6Hpm3XogzEzrUzfQsjyljPyRjfFqIjskvGbPmAgzLG
oLePaBZyLjZU82yyBfxSRwb/2bW23q1wiI3NdsICv4eglNwGgnawMYuMkYltPHx8DU7czuPX6M2r
Ek9uCSm4i/ctMWs7RMk9IC7XvrY6y/7ky3biw7Zovt++jQDodGIFYw6hEnXmDAY6HC31tsLGOWJV
scCnYHQbZkbVJ0c8dVLvFhtEsPVcuW285/aRbjIKnOUVyEgLiesnOynj1Fktx35z4ZAHh72VeXSo
HC26pwWb73qvETdZ01SrKQQ6ONVlf8dxa1ghcbQXI+EkdujO6I8LbN6WQfyQs9DPiWZdW4XscC7z
3DXN+Fn5dOJFWjT6b39j59VETsRaTPlEfpE32PAoMfBuSyBzK4c4n93HD9Gp47xbjwJZawKwerxv
jMlmmJ5P53PpoVKmnQb7DSjMx8c5dV/frT0e+edlVdsx3dtuPmT9CM418LRNM2T5J2vCiZXberf2
lEwDW7JWyn3fD8Fmbj3rsq2LafOfncC7BQcPCyrt3CtA7gK1IzDY3gSCL4Q7MbX/jw5xFB29eS7T
umxNgq+KfQJW3LeF61ypCpOi9IZPPq8n7oK5vBFvjhB6U+cC+uEkIs+9rnAkrbyymW96POqf3IUT
D9SxMH9zCC2KZ4JxvXwfgmJ6CAK9QoidGgepK5B5pCAePr5YJ3Yl75PH+enN2KVmAtBc3JF0dhUm
CkNzqWXrvgpwsmM8+vhIpy7a8s/fnNEs+bAMiKMhyzEPEAUMl8SpDboIkffJIU4JCJakirfHaENR
QDDrkz20Pyxw2hic6WOsrZK+EDschGjkl5GNoL2wiVMsy41hibMmJwcqc9xP9+Wnbp75+89wIxIK
KpCv+wgwGdBxz20BjtuG8RSQJYnRcUqaQy8C0t+ipnvOVWk82Z0Ce9d3lvmjnbThzEsX23hKzYE0
LqOMcEODBsrH9+L4pP7Dd/+9N6jUYpvyHs2u2UF5TWb9brI6ZvcQCcEJNRtSRa0V0kNEvbJ0wS9P
EMNbHWs9LAffymx7jXRruoozbuOQWQXTXqf+1oWGu2ttYAg9+OUN2suZZEiAMEmYAH1No/NmUBd1
n4MuUtg0OihXOtPCi34K5TcJDm2XhyZkhbA55w7Wu77VCPKJQ0HMhVobzWdrxIlv16LXfvugADBK
RGXwoDD/F4fEGKlTvATdrd5QLM7iF7gTaveGGKGPrzgGc/7qf7rk71Y+lJpR6o5Rsh9mDz+g1ZWY
qetcJ8ueTdi8HvVucVZlMLQrYgMvjbjsOxr39Pc2AIigJrYxkhTYcmwzY760sMtHiO+rIZkLv7FN
74zhW78StrbtG6JcyQHj2q4Ikhqe8mwyHdwWWgCAwFUHEVMX+HiXxteox6HsY55vbuxa66+RNZl3
mWmMN10t7Vc8pxFIQ73P1KpVsbyEVwPEDpcESKLEFMF17ml2ue41b/gSMloF91HJsoMm8IMpKYbg
fArEVdGSLMmIPWUGIbAUkYZcJdjh25qIOhOxkjPpKNRjxofjBlYNVMLJdbLFY81UUHO0OcMSb6TO
BuQzJCZXc/OfkkbOenRsDKfxaKrvDRkbz27rIqTU6sZbQrtsfeKnzcGzbnT4y/X8SyvxatsT81Vl
eNdV2GOtmicc71YTkSPZT1JjsqAccVGSdgbPU48wHQeAz8kkoMvyCtXEuAiSMLBX0uwgLiCSabYS
YPmzcBrFXDMAtLayybyLMMhbxqPd1uIsi8iji6Bw1Ts9L2hVGFBHEz8dhsZYudhq96bG6cRDVzor
l09XdJOzGpCKHXQJcXNmMf4s9arFkRz19ZfESXpG5a5HzCEiF+9HHcD1APbsZftQt8xyXRgywKBS
TTnJFGbYDFetp2WvRdXYj9lEFYoFl2hdIpGt5MEFYQDZAcL/tyGOIPKBOcMA3JHy9rXFtZOs+jms
XpJu4lWZIeyWqBWn/mCMidn5OtP0FZqEWmyR6HQ80rMg2hVrGnE1PJDD42QYZYiRrHe/ViKIf2lI
n+IdbrAcJHaugj1hJglZv4BSschOyDB8a4DE51euHRBaGradtcvSiZxWsynQMHVxnWypSGzytorc
GnfpYMW+afam2FREClgwtJz4cpAx2VRMSvTbIYxmZ1VKvFYxzLmvoWnwH7hGgT0CzJRuAluedcOH
bJkVmxILmneolVa8xC3Yd5Bprfc0ON4WFHCChgSk3Y3rTRP+NaBLu574M5P0TGtYJVItkYtGpi6G
rJrSLV2t+vvUx+Gz0ucYm2+WLF2sKFkJqXTvrGecBmLAdfjpA2PQsyE2RL8y6XTc4oOrXIigIC+Q
0WhOtuka8l19Vm/rxUui7qsWKIyZvBXOWSKMEV5sUehAKAjUvgY03j0GXd1D+pCkhwhoJMmKaZJ3
F8ZKIzUUOjNPbOI1yRc6zeWuSDT7Ry+niqyCVMMHHeQzvb60jr8C9XJeYQalfLSTfOSSeEqFm7gl
vAWtF5OCbetVM9TJNqguw2GEkWNqmboN7QKQnkvfw17NqRewXLlNRwwjVofQL6MZDq/ewdzVsNBh
tVIi/4okWiPlMo0A+RkllSaW+RpSCyENHMy27Gu4AIj4y7SX2TqBPblDLNdABPECe97WNBOvsnwk
9XJkBYmxTM4GS03Va7hLMoWcjCBWbTOZGoS0DMZjCdoLoLSlB9U9lhnk3r3uXKTmkLrbyMvbV7Aw
tufPxAhsJyIlGPMYA0MQy4KYOpMR6ELP4Gnw2p4+uQkCurcUeHb+PnclxiDcA7VOxFnXzZW14dSR
DVZRk716Xg8pLx+MDvpsbn8nvo6oFACvMBOAKPfuwbTQR/m5sjkDHt/+fJzTEEoATIlrXXfd0Peg
1Rxy4liJFPVi+5a3vkZCGHmACnKe5Gk9heBky5lw8l1IF//FtvtLN68fQl3GzdpwXe98FFr4E35N
zJOAmMcn/iG+tnLH/BFEIVaJPqkqDLFS2IcQeb2zNeGlwRGZycNkWG47t9UIBm5b6kvXcyRrAeIh
H1RiFTpCGyLiZp8DVaQQhuFiMnvPDQPya+3ojwT8iGzf5sF1DbT9Oich4T4umTYS9guBqRaV5FFM
MNWS8qyaAO1VYV2ABkeIZAJ5vYE5b1uwyivjuwNyudzYCqkRWqr6WgWivRzj6SuCxUU2ATDlXktn
DVC9jNRrNsoSxhvCLuCJXZo/QRfhx5VxCiE7CazmjA5jPq8MHtn1VJXa4I+xq2uEI6TdFxRpw5co
8cYngB0AQN3W1MRGpnbTrrI6HuBH9pkHdSnQdMZTZajvoXVgUwRM+IKlsL+fyyK/qshOxVeqh3Pl
F8VQx+tRC7QevMsY7PVSTQSBp+VCA3LGiIzRuIvNXYUh7UfEu/udjUEj/By9cYXMDqYQvtSwIcoD
BgIR9V7gtQgunOBgdQXNPia63QVzbRt0tjJxCsMZRbB2Effg7P3RFurL//EAZsbsGtxdXyT5N/Q6
/DTCsatvH2+ITuzAji3eN+VAErBKkpvo7QhnBdoRGz+sIVPXQEL1Qx4SE6tcvjR92nmf9CtO1B/Y
8H7b8rF0jkW0HJDvUXWbIgT+RZ0rCQGJf3x8Sqe6kkcT0JtzGnRLRRbYqZ1DuBscT1Nfl6QUbGVs
qBfAZgyg2z5bV/mSlYXccN1m5fjyycFP7C/Fu/2ljkpUanTxdr0x3Ie2oa+mPsLMghl3JUIYvaK3
Y3hJPNvwVbJDVg/6+VATyFIRWAEiLtO2gCqeP/45J27vYpZ8u8EeYZDlFfE0O30o+eyEvdySUaSu
vDiCE5MD6gz0uNuGbFI+OeKJouvYpnpz8flskrIjUowSGqAXgU9obeZQOmMWrAOq/fE/e46OrdQ3
xzFKuABCDA55BFaxgUsMpm2B6VSCYK6PL96JR/XoAX1ziDkLiJivHHc3zxPdF09eZ+OExDWYP1PX
nDrCu2JcJblhagyPdtLVvraJad4kmVEgYpn0TxoLp27Hu1IcHkDGzMxiABDXwIohOpyXY2lscYWW
O6MDOPnxtTrRwDDe1dpBA7qtikiHD9PokSL2oBkDWuM8eq3jcjqksnU+cWod27X/UMEduw5vbots
skZHlB/tgw7HZl1m4Y3jNf01kybpz62Se1N2qFNVUlziQSPzpCFqQEQRsRN8PB68zPsFWZY9S9ym
FyBkjYckH0w8PkTgEE/pbNwQ9YJVagTtdGA10ETLjchieWO2IwEpDrNWSV8axVoBGUZLILJPFuhi
ppDb2piQr3siuw5nI96ZTpVeBg75Lwo2+0WvVeMmcvT8kJMQthoy2Bp8QslYGZJ8kyJVXzsdUgkq
UfIGZzV91pJZKup/umjLP39z0eowS5DQEWVRy0KRbsVolKjuaI2JUZHPCDSTmHSMtmmqnam41b9E
hsGGzAUM9fEDYpxYGI+r9ZtfkIqwFk2QB7t+UB5xccacXTMlNElix02xcwxZizXOew/ytaXUcy/I
W5Oj7HZuWfVUEFNqrIfEtq+8hP70Jz/rxK/S3y2QZhSqluCRaN9ktbErYr5JaDnF+uOTPvF+i3d/
O2QnzRsD3j4bl8CqzAiEsc2J+M6OTsPHhzh+OP/hzh6dSm+ua4fBNzKjOd3Dk/DW3NRpW4U02D3T
CX8EDfrcMpkHvLX1vCmLIPzeSRTH5MyRrCnm6SwjL8AP3CbczQClNrnygku4nfGWZgWezNC7Ka0s
u03b8kdje/H24599auR1FL6++dlEOAGBz5j3zMHcbgZkeytQTgQlHm3Yc+vcNKb8MUI3u8gmy957
MaMZEQMSrBa2o2l44xUSWV69wPLurAiml1Cecf7xzzuxbIrln7/5dW44ztbscVEDt3JulxwAH2QZ
kHjI2WsuqrX/+Dgnls2jfvvNcdJQz9MQTOku8qYbzxLlLvVU5xOHHvjcRPghuBo+PtSpU1regDeH
yt2+M+DCBzu9GfuLCV3Yilpx2ApXx3eI2ePPS/df2MUb2AVxym8u/pIs/de/vHrOf/7v/+y66R24
6vgH/oZcyD8sl1XUERYcVpKTuVOUs+3//o+2QC5cAQKDLqItwVexcPxFrnL/oKgmBto24e14wlsc
iH+Rq4w/+APC0XVDAJriP3L/HXIV1MjfvhWQq9hBGcCzpGssWJ73IygbXpFMix7q84jnG3aP6RQr
bNhWtWpGGcClxET01M+G9RXrpYHYx/WSeGXPdYSRY2z7uyEeR5TCRmo+qcgFm8QXQMHML7T7KZ1N
InkrT6xVCOCZ+vwL8238Mq02wuKEv467vjLQZ4RmH34pA0s4K62Y09sOLt8FvjenXntjYz+MIPMC
v5oL4NxuVg32yrEmwoey1IDIqOZQvxtCgPW+oF34SMenvaIVEZtrNQRGu0UewRk5QaoeDd0JBkag
ZAltBNKt58bqwtu6Cnq4zZ2Z/gxVNEdoaUIY0MOYNt0mGVrb1xo+WI0eQfCamkVFDzGSbB0COpzz
WgQ2bkacc+G6yiB7+43FwTaGKOHRyMEIv7cg3y/7NgQJGtDLgvwX5tNtRN1v7WiTqrNcJ/B4nee9
dt3gYcu2yiEj2xc0dns/dehA+HmHQ21NDDx0PO5Lbh+qWRf7MIRwQcJLRKhTaI/Od8Nug3Bl0c7S
1oFKPXyy+Gyo6p0+IVyb/yf0UZLGNAHrRqHkIVl8X0kntQ9LQhSTquCLllghgDJlkiaMZt/4ouVR
mK1rx3UuLX5fuMalaXer0HTmr2GDYNRHqOoedJkH2jJuIpsg0tBxE2YZiWTFNaTgzXLNe5HNaBLq
Ku32xRhRWkPtw82xF3pu39ktOdq0nLP+fkgzB8ovpT4fu46YUjr6tHc6+4xErHkzDGQVownxqkuw
P0xJshZuEhBwx/jlomDL/YDOa+F3taEgk4aAun198GBKYtmzanxYjZzWTo/HcVWSO3mddNb0aqqy
/NnPUv81lrN+LZuJwXVQCLPC0gsVZlUNKNs2hC96kBMsreWWEYn0EsmhHfyGjy2uJ1cR0DAGFWFo
JYEqIM/x2BcTPPBMkq/lz/ZwOZPgFsNmL5DrgJ/EFiXmpnlKBteFN0uKlyhFH28NK22tDf1KeWa3
bJxo3gfO7M9hJKwN7iJaPlKUVfMyaUF2Fcxehk0nctShi0Mw2m6f5dYGqYht7xzRZzNjxk7Ma6HA
sSZmDo20qqp7S89Nd1XEEabRRMga3HDcQxtF25TPu7JJ+tvGm/Lk4Fi6N5HmytBi5Wqz+1IVM9yb
xqKLCs3ZKOXVqAn6jcQmD9f0nEooa2GXvbaGq5pz0J7RRSXxGviWPo76zpDVFG+g1OjWqpq5F3RT
yuoXXfvoZyqy4BEp+fysldz6FbNr+b3IsEauWt2qQDxq6CPB6/dAUskCITMNGy6wZdKDcmge0Xjv
UoiDfE5Ff9WTbRj77Ne7J5tGOkltOCDXlBhkEeRDAWJtnrVnp4Putx6hBr46imgPfy4DdR8jP28P
JstftIlUW98VdW7c8oyZavGvVLRa2zJNmJckPQblySOKb8S8+OBSeReoXnlw/aZGPgiBlwDBTVGK
qjsnhMMzzjq9Gsar3opH0skGx43Jf+sJ/pWEVpCiVDdo/HLbiKJVJ7DvgBeaG3lf1tES1dBWNZyx
tZVAjN7mSZfSvAV7ej7oepleEWsWO5smUnq8Jl/GmS6TIQqta9yL+ouWOAI2fRYF7i7LZgLh51hf
FHmyHcdroPolzhaz0lOCxHDTgMqo7Jsu06b2tpxprq8sVcQBcUrScr5YhhYx3Y2mUj/T6phhcNPl
tgz8OZZGJ3yrryc5+k7O7psOqhGrjSI+BKj/IJs1wcKksReWM+gr2p8831FkAswQRKQ1D46tt9nP
NAPKQqAEXtmt5L6S4l277rRL2dawSkzghglWcm/gjsYE9Qn+/DqHeP4S2qX2wuCMKA5Cu2nupmY8
6LRh8xZ8a6RIqrXqwtsmtXJGzPmxJBRniqIrW0+HMwUr5DFO8oAg49lLLmfoU8aOQDpSGBgYk1cz
DGX1I2zD+Yet0oY8pzR5qogIPY8iaXwLeKF/GIwa5tXQetADWXScZo2Rznl1hqH7CqS+RJ4Y93m7
Mpf5E0aXIEr8Sic5ETRKQKyfSC3io/vRK88lzTWmg3PONr5uG7WBNziTlFSz5HRke5t+QBhJzQWw
SIPGR1oiDvWWvE5szbQdkUXeCVlY035Qlf1QDkPGFGXsJri+Gc9eT7ge+cx1yCDOHAZysOKWHsw2
zRtU27QxuIA1wuH6zIhDkgzlHKTR1uiZchKaPjoEhgZ196AfXfGaY1nwVY0l24SsPtC2HYOmr7Ez
KBKxHA8nW2sSfcDnApKen3hBegHil/NhPSb3yw5nHrO4FE9ABpmEliwoxLSAH+u3CXnzTzK0819O
yJiDwktWzVbr4AsUZTk+2PC1QRUEunxBp9Dem2IBTzO9ynI/o4rgK4534YdTat6hbz316sZTeuPV
XcmCYfVo6xqY/DmZsnZGSmeclOOOry1A5PMCqt5DR3AWveywrRFFMjr/BTl5+tUD5v9lWJXO6pRb
V5ioJOEXaaOu7QIrOr6m8pIRUvtYuDWVOYbx8j5Wdp36M95D5M2WIQ5E21TOHvId9VJB1XaRtSat
RAKLyCAhHkt0awrrdh8EjtltEOnlBFqi6in8NjL1VzmM87RmXg0LBtYK+D4zCbODPvZe6puJEPeu
2Vn3KJhDdHG4EBJ/0JOAQW5YsecaE/ceKnchVzHJSBhNqoK6FoyhvkAO+0ePsGVzGc+mxJoo04yx
WtvzFQMb+A6q69QBzSIZ1nGVJVedFRJilMPbN6BH5+FXvih6eki81HhwnFoQKE2SzTZSkskO+R2t
tZ4iUiQ3ptNN5laMBUChomjk19Zk0rab2Tk9Nk5E2o9pRuk9mXnVDegJIo57XaO7PYZpdsGiDurR
s/rXHDbmK7vZ6SWDvPDkzilSCAZY3DowXYJf6XCrV7zzDr7LqoKFLGXQ3sROEH1lruIGq7BjO+YP
DM31VaCl6T05EGR+eJ4hv09dMp8XITGfW5tkVu+scnDBkzgXtMZBxQEhSwwwjYc678sbtExlvoc7
NkIoxfKzNvl2nBtBN0BQJgOyZ8wLttGPgto5wFjphd8ahIgO85wsuSKJPAMpxniEgQS+TxUpuJ08
w0QDTYKZKA7vKti5Zs/aOAu2B7Nu2+E2rJj3kpw9Go/sEfIICT2bxLVbe+pb1EomHypAdu9DzUwd
X7Wgz3Fwkd689wIYWqSMB0RsFM3sfZmKeWJ47zrDvZXU0bfS9KoKDCjgdYg+IiLSdBp+uk4CYK5I
2Tr5hWGjvCFzPD5PrTy67ZjyAqQdBuc+rxJsA3zjw6uYGeXicaomeLnFiIVMowuL966KvKuZhCmT
wJ2OLn+nPZrEppr7RDNnY1V2A0DrIa0jkKGTfUjhin1NmJ2xwDYTf0Fpq+CaMTW/YSgCRmf9ZBCE
QRPQpHnSRcyJjrXffwvitwXxYsA7jX+861iIKI3fYh+N5Y/8XRKbf3iurpuOdD0gzJ5Lk+Kvkth2
/9Adg5WCJ9/5q+79qySWUB91YJAuQx3AzfbSKf5XSezCtcH2By7SJtP732I5M5p/XxFL24DRZQHz
ASVJOfN7DyUUopGJIV1IJbFB7SNmB46dIM+dFB4yy7Yu2YRM+/UAvQ1O5m+5LMZzOyTjFX5ZkgR7
KzHCBxRIfDxVrIrZT60sFSQXwMoAHLL8n8see5NQ7GyTPsox3w+MhIqmNmL2ekPylGgzfg7CQTpz
5zoKCbjl5Pq4DgY7P5+g7T9bY0ddaLMr73xzdqKOkI6mdNZMJIVY9AyLUjKBZ0FielddQ4TQy9VU
MTrd8ClrdkW3QCHKWIWErQjEQWumZj2Sd43gGNLLGuuFTQ4glKGc4Ud25AhUh1A5dMl6fcrYg2Mb
Tm8Z9M6gDEPycTeuqzLPN8vEo0Y3JTNhuqHODyqa6KHQSK/Y6k2bE6gcjQQGh2Pwy+q68GtgD+pr
Y5acDu4q81vThdEXMYoRfEdLWmBnCvZG/ZEEqy1Q2KRAEop+BUg1tqM8wgODf9E9VKEzPqMtS77h
YpJPcVxUoO2TaJQrzSNRb12SG9OtaUf05To1AdUaC7LWmwdxw4Qh+DIsQNuScmVx+KTZPXseiLe6
irt7Pj7Lh1SY7lV9pOOares9xgsyNwPG3ay9sM93VaVjjygWvC4BmsgPQVh3Z02fsTvCzqwR7QIp
hnxBnU44sRcavN74yO5VXgjHF5RQc+ce6b7ow4rn4Mj8JfgS2W6YLSzgEJDDL/D5EILrcaEF15yr
u0mOFOFlcaWkBdcNBeJIGp4W6DC440Vi3IMYxEwKlTjpB9SgEDmgFbtmFf/UF4RxdqQZT1Oc8/2Q
odbCK1+Ix/JIPw6yopS+UgsVeTYtVnH9SEvmPYKcHDQQedfFkag8k3rG7hcuDQmOAGOi58LotPgs
jMvxV+5ao3aoNCdE3oDHIr8Ns6pCRicz73Y6Ep3ZqEEot7TmccywjZ2Rx6QT/Bk0wV3bd9Rja2vU
R/EVtrldv8AtlMn5JOb+jm12734rLNtE4xYzeUcIyixmXzdacAdZKGxXnUb3xNchrhAkkMFw/qJJ
ijt2QOQN1ivm8NDVI1uEV32Ant13LCOEfaNILdgVFMzJxSCG4dIohdOtKbLArbMFROoguhKJvVeF
c3sTwL+RoA0FrvVEV2jiMAOMkIZlGVnpKlYJMb5tndBZKKbE6M760AYQrWsIpvw0LyyiSw07ZEuT
hv2FKgGnsvOoMWQQUJgkG/vPklOC4uYHSv3WKKP6LvH0NNrUqWW3oEZHdU+qGwVsm7feazFIy1yz
69KeIa6k116sU/aW7IY1LibVsIXE7Wn4s0Qew+GKXgGF87jU0NWxnNZr2DYIbBxyyKtjyR2NJeV3
Rc7u9waqfI03WMnvWHUp1WvbnojgpX7XhRn+xIRZ/kL80Zl+ldizhRZrKfvLlgEvw6qlHaCWzgBM
yqY5d80gfbV1s+DqHbsIIqGhMIYyl1f1sdFQHpsOCBXdF/vYijBDIn9AfmZZcgjZ3d7WnsQx6SUG
lloUnTQ08mNzo2wb4a40lMH31cjwl7gP8zxtSXlY972TEop+bJUowp8RDh1bKNPSTfGOjRUUxfmV
fWy3YMGg9TId2zBe6DoEGjpOkG9qK3XOhrRrHASIZa8RWkRK/bGpYyz9HbYe/Leu1dQEaBxbQBPN
IGhUtIUShWRl/LNZ5KIDWnVLDwkNKaUduZI6xRZtfT9b+k1B73Xg1BLCnP3y2JIa3Zz2lHdsVRHQ
PdU7t2kQScFXr7+JY1uLyNFXUpv1a9yy8MLVsQM2Hbth+qjojMHgpkvW9TEdM+/YPaMzh7I/i5Xx
yx5sdKjdsdcWcLtIBZrsp5jIc4pQ8yxzCnfl1Slt2ijJp+1Alh27VFxw9+Rp09TrlLTuxLHVpx/b
fi2U4Je4kwK21tIXjI8tQiIIaRd6MQN5Hy4a7+Z8bClOcU0GSx8YtE7xyD70x/ajeWxFMsB3Ltnb
0qAcmpwKl5Qhxw+OLUyoJvmjDDi/AzA1D3jg1EY7qEVL+/PYCm2PbVH8EtG9BlflW4/9nqYQCfcG
OQNIpW+tpNNJoJyqL+TF6fgo6MegIeqlzTeuzKsJXw1qu/9uJn+yyBe/7wyZo57eTN48N89h9zz9
f3/k782k9Yewl62fJfhkSv7nX5tJKf6QOA0JoJD8Gyji4l/zFeIK/hCeQZIP+4A//+W/dpOYh/6Q
BBS7/KUe/xvXxb81YfltNyn51liW8MCbW8x+XPs9S5JtmCsG8jA2ZpjdFVD3fMnLh+yckLA3F4b9
xxSWxWmCyN9Hko6nGybaqqOU4s3sz+pTcqAtYhXp801XVafbN1BXLSQA6KT//UMtoynB+IgzlO/0
T8Kyula0nBQW8JsIRtRKM+wvJJV9Iv/4fYz55ymZJrZq6gfpcA1/34ozIIMJnhJCmo5CZegcmV5Q
Zhrn+O1AIyW4yz8+sd9HtH8d0HYlxYlNHsV72E6PmDm2IEsgB2mya6906ccnzaVGiOA2jTzNtyOl
PpNruEfA1P8b63NY1/J07pnr6Ib757jv7diWQKNa8xQx4dB6nRsNcPvPopoCfDPYMU2E7Hf9WA1X
06JbMVtV7SlMsrMRTtdVQMd6bTcQ5+wqzb95dFa3CQL0s97R5c0cwZOxcpiQ0dQ1B4+Nyd5gWnSX
oL+mnTYSMq5UFqzmnNm7n5dMiKs+c8/kWKbfM0yTG0dE9MpItynVqkmrdq0TBUmDLqOfEID4Ri2f
Ot8h3ee7COik5atBadduj16StHvryeLWxeCp4FDlTQrHo+3a6YJPZfvslNlrlPbJimLxqlcODE7h
9StgRx4WWLNNuB6OQ2/URi6C4vacDxogXQMrMFQg7ZthRe6V7dTDxshhjUvZ1cRt08V9KNiU7ggK
ia/TwRV+Vsn4YOFS2Nt6/qyXtdgH9TIEg9IY0qssjecGHcddRR1Dx2aEcEsuyPSDCKGS3eLgZltG
Nt2OVggC4Czv+7UmO5TUXgzQbpWxQbm2ad+1vqzHDPmhR6sIzuZFRHhegipIT9d84f4ve2fWGzeS
bes/1GwEh+DwyiHnQVJKsqQXwrJlzvPMX3+/bHTfW+XucwoH9/WgCoWyYSuTmWRE7L3X+lb7hrMj
e+I8Oz1bca3u7SWVvqasZsdhXPs0Vx3/VCJK0usiRpdrmCinWYtIlEuEpKtkDz8ic1FcQnjUZ0Wv
74qFKpSJt/SEa5sVNqiRQNp9i2g20FYAtISpdYcYn881zdvooc+bcK9akIJdld/cDYVQUN4WOTmS
5P5tMszQJvPJOfSSXBsPNZjF21LIhvzbopxUmk6FdehTGb9Hqm6q7mpTBa9jbuJqzwg2WYV+cCy9
/K5FHeEqVZ9qP9iyOb9l5IztphCjLOm4rUkPtrV3apLQlkdlvARUgqpvFNW4FVVyTTprRbuwDj/v
sQCHYnYwTwmTnjW+g1Z96kXffg1CdMc0jEyseny4qyR2JumYTHt07skWJ1AUgotG8yzN++atMcdo
b46pjieBUBGyyWLL1wd8U/k9Hn0sktXXl3ECGKrKV4aJ1QNaaIwkUZl5YVWH3+x+TandUxCkRiEO
KN+yV4ka1HabJv9YFLxtTWXViLrsr14tOeSXifXGUIzmJ6Fwz4lDSHA5SpMYF8N5CWkFkIhk2lsO
ftHBAQt+xvxjzwyvVPGir7G4DnodXlQ1YZoKK2q+xaEUPvLk8GdCiPN1lmXqrQuJs04yZ49EDHRv
VHRWD0i0bvJA4W10P5TYqONAW5wi3fXlIqrNVI698C1OLf2Id+QOm2qzTm+2qM2bBjqlORePo9BS
ykzSjsTP0smnfENvcQi35drY5TaUoIpc3dGr6hxTHe8yvXPSFxLEddWNllz87DijWptFTNESRAnt
PXwXoEPPbCl83ivjA9sLl974WBvF7P2ZTotFbmkx9L4SZsZ0MJMa3j5MrAdBZIOVClVuOa1SkbWA
DiefbjBtyhIEb/EdGf3wnIyVkfmSs5gVIG0wzpC8SUFCXFRMh1hOYXUoYXd94xBnjAwf9fl7MaLO
cFGjSQh4Wjf/GATNF4Tanf5KVIxjHTIr7n8Vdbfc1KWI9ec0C5EOUuQTqmUV2hrvW0Uhb7EgOG8+
xilNfZ8TQf6EM8x2lSR8Aa7UbgXaXySFhuKFXX+SoI0wClREBHUW5p++BRsyMrVnRErEUzXdw8Q3
DfMgTwUg/aqPSYtnO01/GfGyekwzSfNoHEIsuJ1m/mBtW64BsmNLLXloSxrX6LnFURlM1gs+DxJZ
lS9QjuOpMZT6oae5BfZnoMqrpLZDao+HYRlvGbdX1QtvinDOC15vq84cwfvYee6G7tqa5i4sC7vm
tWyxKZpuW0fmQSNZ1rcJyCPo3FCvBJO8ot/wyjXesgMRu9EerX46mrGyL2rrmM/56zQ1b7JqSGQM
lx+yUb/rY+MSvrdViehjLPxii3h8YR/aMjncCZMJhtki9UbpT0zXBJo01EjKiqJhX5XVdkVq7o7m
+potPDagbxFiWOv3PGlPVZad2SVRObS/sH9uK924GkbtF3l9q5r8sdSd0nWEsZ1MfZvQSfsYWBvc
Ir53GixU63iG3KzsjMtYhr9iY3oGWXy1VG4Sp3ysNcD+ltYGVex8a0FLe6TQkyzYh8Um6rpHu+Y+
GtedJRoYIGgJloYmWxr/mAXuw2FxI+drqPGfNNLx4zV/pTbt3VyOLJk5ZUgGLhd+OBzc8iTl/J6Y
1k43pHcPX9Mr1t1MDXJCFI2+/96OvONVPZHDeQXPxTy2u1O/VM6bNRmOfbPp2glcjnXtuwmksjAv
UaWx7+vDWRq2djOsNpCgbJpxJv54yjyT0e+5Ic6RVhj3kVbs4IVulhqAsZUv70BzazxY+WGa+sBI
bBxo5OOyWCqaNyFapHmoGNthbio/mklvXmhEeOqENLGyG9eyJFxpp/UqO1dczdK2TLURICztgxJT
tKr2aBMqbbTXAQa4PhowG8JZr075OsSMPNHIAJM4GDg0fcYRPUy0/DmRHA1FVp6ZlEbbLC83d6yV
WO2j7OLveZX9LHXRPMVGFCwWXGtD0w4praLxbkJlcnVzCvu4NJF+TZW0BPMEfogX4OLTMrDCBViN
LjZWrzBsnO1vS7h8GTVD1kaag8doBTNlPOTe2qFvMnvVetSstL7QbyHvDAuCK0R7qWsCDmZHGR7h
qzl7p5JvVN98ZN1ydKw03Ji52DPWFVui+3qytwcC5KuGkCEl3DmrNn3XlDk+N9ZqHVAcP4RJuVsE
I2oDAco5U+S+sZVql0zrvo26Gd+m8qGz1+/QpI5uYatnKujHcibNpYVez1Q9hcoubCyw9QUBa/cW
UyF5U0t4/dBp2yWcoHB3md8PyRsa+W7TzijA8TzyZ6LOm+35sRuT10qdnmjwHZ2pwyelVTE3d7it
J027qJZyxtEHidqkrUak7G1exIXQ171e1I+OvhyGpDuNsL+hXyMQ8p24nLZNZZ8Zda6BLTALNdHR
NNpdNU9M2WW5WQbSACUdqkX9lSXTztKbpyYOX2nTP+lSv0RZe7Ly+CFzyO0eV0aly3o3mQ7EBy7z
DxNVxIIvzcjsvdO3u24iy60xTgqPK0MuyBVddka/c8nTLN3YdnKpRvVTnwt/HZLt2KPpSCDyuUSS
f6hG8xQtauExuLjSOg6Q3G3odZDDSDyxsKCrxatyMkX53K/iEyuGcMt89GNlTvw7WJJbdooPnY4X
rOXCI5tZ7TLP9AxziLDxNEDT4HNhX1pPOPdOa8qzDoqJtbCicZMkUn+ymh7AM21zm2TxXZ/RwZ1b
EiLrmnFhXw+W69Tai9Kp+xL/YSDa1SJfd1z2zkSCmtJqP4XNl5jdPccKIZBqpvyoyfXeAKE1D/Bp
BYti95JXxq2MBwWox4i+eALO3mnSQTKnt8mjbO/WQcY1LpOUldEfPrnBHn+MURV65VifB3NSDsmk
BNi+77eK89bl5cfclr7VpettZejqAtJHH2+xOcH7azb1BN8DO8832Y8LP3J6x892LnL2G8tETq/i
5SM2gXhtg7Bwv5+79Kc2Wp9an2+XTjkubfU9RPsezHioWaYCw+TjJey739QmbZvGVFfyw+nat//Q
N0TjjVEKm0tt7rl+LsUsL2lSf+Vzd7RFiOfevDtZG51UMKKmMN3gt5/JNzqL1LFcWXSK22t5dwzH
jqSjnpY3CQX3PrlalTszzUqyoc1U+KWoU86sUeOrDeZevVq+inWofRQOZCrqwz0roC4xJjTNtscL
UdJoTiH6dmJ+BWI1H+jxyh9km2TPsMMvHeRwfAptcVsHgHhrrRA0E4faqUDaTZ3Vm0gzSkul38b5
WJA/9FnSEI2Ito/VoNAr+wamjxNARM13fxa56yIa0fRYqi+St9eTUifylX61g+wiHrf9pINzMwvM
cEuSocmJs5587TtTMBrz+IlZvvk9E/m8aw39DFo73pDSnF2QnSdfJIpava87HXGApqN49PyhbCLM
ib0+CrMeGYqzL+14BjPWiWWfDOjJ3HTWcOtg1+jcSC20E4Gk6YG4jcQzpqbxS1DSD6FtjhtzkvOl
zar+1vedvBKhWpzbzHmH8M3EHwnZV5jDzAdX1lPemJHpRRn3aOX01allFdwaiLpACWbmrV3KNBAQ
wy99qdDy0/KZOOm28WsGLtir5HhFx2m+LiPZ9lD0B4qope7O5jRaR6LZkXunZJI91k5U+BnID08P
ESG5YO2/JUusHRkNqY80B3BkO7GenfHtJ89KlHH8DYWYGi+TYbbhjrV+ILWqsF1X9reZu/CXZQ1t
MKaT9jk7en4S2Vp7A57iY1y0Cd1fuL2Di3m5iwmnnQrMCTz7B6zw0RarmLVrjLA/y5A0xDwRX0PX
WBt0tD1+kdh+TudZvzaO2tymVVP8pZs4nhXqPpZrSI6O/XNsVSSELCSHbnX4omeNHElRVwsD0XV4
amVx72pY6dxsMeQ2pT/fv6kD8lFlQvETxZyawBgJ7tvlJApNN+xfJRZMuwpsye3wYMXasgxnYTSJ
OvkNQ8UUE3tPfF3vLmjB9KBZMsw5+UTma4ARNsdcPCvquWtJlXswM1v91hsFetu76o/WsVFFT4Wx
nFRpsLgWU7cXcTSiGyZTYsskjwHSInWKLSQlRjgVBUtMFZi8ew6isb5B66BtVDVvTrWtEU2Z2J0P
5lIE1dIMAVCJJVDJOtkO0Ls3qmNOu3EQHE/WMWj1BVpxrPvVRN49gx6LFkxqkGii9z59Qvukq4bt
GkP40EycllRM3wBMnHlbsfGvHqSVe2wJX1dWj1sudT4gDKu3lPy3ZZwJw4gmex8u0H7GvgnSforO
aTe/G/b6ZSbwixYFWuOo90pAZIh+iJGLGO36ZDOyyDRdHCKAsOB1GDrN0dL7ROfKzTxj9B5JQjiQ
gdie696etkO+5scY+TWOPwaJyqLrb6GDk4PneRsJCREQ3eMGSdYQwIZd8KQYz6HGIXiR3QY1mENF
oTGOq2cn9pDjmMdeY3ogpTKe28KqNyFMl31fSUIYilBjr1xn5cIs2CTfkwzGSvEt3P6ulOsn6QDc
eYwEPdJPzM2iYrZEEDMUXhGbj9Iwjq0kHN0GfcL7IYFvQY7ech81buVUlV/bYk+giHXiUZ7ZMC04
HojKEd3FxrWt68ucALyOTdFvImN2Do0zqQux8Uv6rSOZXHe7Opr2hOR81lVn+mbeZwFq+zHo7Kza
zgtBzUYXEZ0h9ALkRPc9WdZyg50bs1BiK5s4jJJ9vNrNtamGJ2awpm+10esoEKdYy5QFbbN8kNVr
IAkcGViB7djxvJNtOptMXgi1R3grNlVBG2IsVf1tKcpmE95tMzN9Aney9QutzoW5dd75VJWFT4kx
HCX+M08nyZIjEeO6DYoht+LE4RUqN2YkshDJakjrjnDhI4Xad6Flv1poobHN0gy5Lr+k82KfEye8
gj6jnGi18V1HaLl3FlTybjXqSOE08PX3FI4XObIKgp9/rHuRnGyFXBXsAc5mFNj8kH2Id5WFeV9n
ovUJQbHOLPGpJxu721HG5AEbwcBAyMo9rPdasLSWJJRP3llu6vy20l4NOtNeTvTBi2s6TwuFTlp+
KmE4PaIalcgcHJm+y77MgtpWw33IxQcdY8Cg0XpjIhKF3xyY+B80QSCcaHvx5NQyvev90XlGhSJe
7GZgs1R0M0iKcriVoFKP1OJ1ULUweSIFdjO81AadbenswYWpEDbWlMZmSkAG0AKnBrNR2OFFMWcV
9X3zugzZul/CTPdGQog9qbfgIDStYNKff9cgW3hsF9xv8ANWQ7+oUS2uEJoF65LDqcxqyvQeFY7L
0M8Wx3rVCBvzkbZF29lplQPx6CAT0A3ThKheMkT+yEJV7P6x5YVpZXBYRHo7Ybzwl1m3XVWub9wO
6a5r1zs6IYXWkoJXc7WRI2jM4+HKkTvF4KDcqR+FQbyF3qs0nXUkATxPD+Y8An61C3szZPTrUyLJ
PceuzQeoqMXFaPULzve8c1cUdT6DaHNPUvlLn6svqo1ytytjCvlKcv5bGumGZcsqwS1ht0RQ6wR9
67352tyV1+QLcIRZN8SeIfEu985QBsZcv1upvUtD/UFf7A/oU58cpSRHXGIVcWD319iYfxr1amxS
oyuC0LAoO7ruM44mnJEEPZKQQpHXiH6vtpN84Jlrz2uV9aeWLX5XpGrn17j1d3ETzYFZg1CKEksR
D+QCZQcy3M8yWb7pzfJdQbNGxTYtt3IV3ZMx0eBo+ihaPJKUMZv22rUeCo6ZZO/YaNDVyTWS6Tho
w7QpZel8C7tl/ib1mjpKt5Uz7MTzkCcGikw8E5FNOA5RNzdztF8txzyiP8g3OYyXPJPscG2EDnFu
3ktzaXwtnLb1OB8s8JMcGnwauqfFMuyPZmEfzWLhU0/tRmu4TS1y/Nn2i2x9MmsyrunAb2RKKyQR
1ZlQJo2zLxZ2mfawTZLkcWo7nwa4T2iTX0nuxZRsx6lM9tYsL1bivDmtOKb4dWpDw+qWHqLG2Nlr
8Twbwt4gjPEwp++GivXSSR47ZXge4/qlLQevrewdPdVNTLLFQDvEKcZD1CV+HpsbTD1fPQOCjnyC
xeweSmWVH5pGzBpC01xlsyVnytcaJaiiNuiqZf2WWsVuHaHUxZKEsnsMOwFXuXJsG57e0jnqlrop
wpHYpdEGIzPjn+kebEffOLJ4rRE/x0n7Dm0e0AWl8b20WaMD6CAEWzVZKuBtkca/jwXu+wy+G/Tj
utXwtuDwOiyO+RIiRpKOFuTGwF20+k7WkGuHQjSFtG7R+Tc19je0V3cakBsVPwu9bi5z4XS7Sat8
do0D2pP6bdL1QyHbbTxOeyNmV0/CeR9Fuh9XsN4MQqVo7p76qtxSmHKvhvqphFhCw8Cb484beadZ
VL3XaetHKVINJ/GLsn5gGvpmKSyDdsSmLcxTIcunsqOBhECb1gq5C6DwNlalMhVQ+TIGL7XM02x1
29iE4znkD7peg+Uhmx7tc2D19kZxsvLER3l2ZPjc9y2njB/6pJ26JNlArHkwJuPYYFrwuxy5Spg/
LDYym3Xmh9B9pthxtBFAWXSKIDmTN1bcAN+c84XuFzu63mv+2hR3HLQA5THpj1GMRmZ1PsAwQQQB
ecDmQX9U2c1aGuj6qiHunU+osc+dXbNe2GdlqI9kTvq55FlWqn0ZUvYPPGPOzODPrSdyi9nlH+s8
Oulj+jF1w8MSlQkjhP6gpasXq9J+orG+cAzI/Soc+sCU5nkYEPEoyr2BSRhgWY3zo55ptLURDJD3
nj6w4T/mZn9uOVKuIqOBoNFa4+qzEaqQdPojwK0nEpEGt7XGY513cJhoxJLBtE0Aw9eGepyLAevb
BJafttMDBq+TAW/aM6PpCTnsLc5D30o1cuNgoJV6NwWD3uZu77CahgpmrBgA5aZPxC6JoVfp3FfU
toGZGh+6HRKelw3vlTG8tgZLJ4Lc1c8662hoi4UWrf0ppoHdZfg1x/O+ndK9UTn+XCbvY2w9MjF6
0WRp03kfPnJ9PK6Z7eyZRTwbrFo1s0FmnNAW4s9lXA7xCOkpNR8WJ91FdshyybBHTRxk0aGzsdT2
aZI0FbTJIQ4smY+Noe5lVmxDR77Yq3K1NM7JlbLiW4iM25CUnRfChEF6fp7G4islLWFutG09K1fH
jL87KLI8+i770KDwu5dyFZc+KdWV2sTXRXaUeXwMnfkpM5unQTDMi2V3KOvuwv73USVEKZmq/ZJH
8bwttJ7zk0ViGFNBr1jLq9Vmpxa6zTZU1m9MsN2pmI9wga5QyVbqilCcoKYlNzWiDlcIErysK1O5
ya4iThqjNtzWpHjO0mn2YvL9gkwo0YItqqXsMkJ1bzk4zFWRLadJFaiBnPVSt4DS7Y7ngucj33dL
Y22j2bChMun1rm8s9WW5zwUJgqVDr9r94lpaT2DijA9OG0oaPnZLuNHEcfZNIZhg5aZz1mMidPWs
Sdl7Wd/lzaYi7CtQ2/Z+BLLNDYNkhshNfo8EzeNbQb7IZ6Zr6UO+NHR9Mmdp8JCEwh+SRHsal0Q+
6FYMzWlJnIi4i0x8jaNDJwaOxMBCFKI2j0JSHhoRf+bxHLa7MCE7HnN7NLwrU7OwQ07V9EAmXD2B
xLIHNisC+cgqSz4hdZKiVpTtY8P0cFdlmnXTE2f9ZioScmgx2hfFaVREuzkVs5NEq9+NhiDbOJ8f
aB3q76ESi4+JTvIORRW6KgkcBNicCL2UMVweJBGBqjjBik1oJdNTwzcTLBxvgrDGRYTXcwzKLkq+
O40FaaJbB9+c+9ljqq5zHickyEx7lMLDrG8YJ6ACrkLnCeQaiWuio27MOVwk2DM1faPSJWFhH6cz
VhTIaYs0+Y5KbXrNy3AGFzlah1FO9veYpIANmrX5OcoGw7Vt8CiTkc8vOGBRNSK+ixCQ+dWCfMrt
JzYA1RH1rtPK4WDfcZBT0v1M4/jD6mV/TegeBCqC+uehMMTgGlU3krqWVftlHbJbK2ms1lNCU4a+
qr+2qupZlSy9jFGKQGjIJ5FHDCVpoEpr/SyZDcI7dJxpPytdvq27nvVHrNbGspv62FRtyQPE0tZE
wjcq9VLRc9/MtN2eHLFmx6SXW4QJj4yG9Ke4WDkHEwDWBQJVjz/bZRmMnLa/zd0MoBeuWKB1fQm7
UrL/yyinoZ4sY9DTQvU1nVbTqNNsaJAKn8PKUi7EoSBptUaEjK5MSFtFsJdftWViZFYa0dFo54m9
YwrvuwmKCxeE2nBJ8LzAs1fTYxgb6aOorI+m1ZoN/Z9uE2VmvuXs5HiKJQuIZBUb+0B80UWMVpVw
B3QMmzLSPA7A3Zyb02dwtrqh6n6uaghzMhraYtNY03C1a1FQrpmACodVG7bj5GCMgn8yU+JbxnY1
urbnWICIz21jpLDEz+rGOWxn49BBNzkYWZ3jmWpWUu3MuM7GTUG4+G5gAHqXK6chZ3+tNZ5R+Gm1
L2cdZ4kj6ADgZXOuRTFgoa0XZeHE2C+XOYM1iHuif1M7tdhlYxKT6o51Ze57ecZAU/EzFfNSh53l
S9x2fKZLgYcjrTT3b2uJYqceVFoJjrZgxLQjoYWs1yGlRJWH6ptjpmb8plsWwD0COwlVsMw7KPBv
faw2asMoMohGBFaMN8CzMhvrG3EhyrTrt3/LiiwlMZxGRZ06zLPihNfyFu7x2SPbIn6NQmI8N//Q
Cv2v1eMPVg/NQJL1X6vzXpDi/ybO+8ff+Jc4T8fOIaVl4kdAKyZNFHj/z+lhgBJACoKKzDCFg7Tr
n04PRRd/B/pOcgomEOpy+Qerh6Ibf+fv2GSB/POHmv9f4jzLQQOo3ykIOFK03wOGkFuPhjEBkVuL
Urx3+b05hbXxuRcz3ZM/fDL/QZ73Z9ACGq/7a6nQQLliCznibxgo3GOJnjSZHhA73PlZaCYPo2bZ
Gz0zhu1ATuwtSysqhDZe/0Ktd1fJ/Ulddn9lXhNihGPa9u+oNHvWOSRreKiyiPZ5JbGA1QwH/vvL
+zP95p+Xp3N9xC8LS/s9zqgwhl7PKl4kkfYNnhxCgPGc/RUA57eQjX9/mfun/AeRozrC56sdXmZq
x+QylAgspqZVnmtDwY7I2jNsq9misxvnLFcyz74RIPkYz0P0F9LE38LB//VO8FbwjyFNi3v7j+9k
yiFS2hPf5+QhMfc7rzorHmNBT25V/ktS2LRRPc2lNe31vv1IXekVnwy0DozO939F+v6P3zFS03+9
m9+UkpD8EpPYVT0Yp6iimJcn5R6C+z/7ji3Bo4os0uELRnFr/+aMMoxlmkJiwwN8i3KjaHl+qdkN
yYCZq79g5fx+PcCyVBUHpSGkLQGq/PbpGnoXcbJOiWFD/Oc2mcY32vd/JZnV/5Hl98dng9exLCp7
7lmJYM35Dd4kBuDT7FUrOblzGiJqWeKVGN9h6VwjjsNya4xDHG/rRDc+dQqQlRzsUK8/EAo6WuZa
wu5HZJUi5LQ4TQS1zXYcEpkWgkN9zMYGH7XLQM24ylzJIrw+NXOqltk20zejUyWblGZ1xzZPmFlS
aeYc80qYzo/4mBHQGMsiaKSmuLIJYMs1+1wsfDL7NIM5kAFdu9j3asuRJyxcEdVhI5LEJQvI8jAU
zSo6L2s0fISDy4s19chF2rExbPIglD7fJff/buss6Zxd3M51eiMqp6atMzXoOO2moaKjTnRecXSH
IVK0IXLQvKiSedwiRyQbCjbRH0W5GugEplp9x5YeKjx7UAMCoM1Q35WiVl5t1TYrH13B7LdR2aXb
3jCSFgmVHXWbFSSt5omihUOpWBVQzDTmDFCrhUpyemczt4pD/W2OCTcF7pb0+7nIi2EXrYpyzler
ypgI9/ZPo5pr9QpQlB6A00e9RuZPiHwzztWEwcwglHNiqHazBZBH+2cyc/unI1KanlvLme1jRDye
4zvWgh9Z0e1GoDru8+96qtNjbotxXTZlMqPvyWgYrDR3cPAxPiqVu5hbfdBaLQld01zshwbs6AOT
UeuxJWf8U/KMVF6Ol+nJGWN1dCdStqWbZDiv0L+Z6+jrytL9imcd7KmUsHXp3GEUdGsjnp4zWEEk
ZpnTCpc2tmwg9WrTqu5Ya/kP9k/6u5M6Nu+JUfaF18VajHRHsUtqAWH8UJguXCKD+ZHLAwsYICaR
2wpqK4o4ivdR/m44JdHNgz7D4p5It/qVAT050/kPf0RR3T1w7oaHDOUnaj3NGsbrtNTlN/R9LLBR
HUXXRNcJoLfKzH7s0OKvrl7iEkMdoIy3mUHUz6mrk5oe9zRXjHSVlvh6U4m/rc0cpn4hugpPPyHp
sWuobX5BmdZnFOx2TwTumCBwg/H8qBFjj11RX6aLHukzw94RkkGrIQT2I010L1ABnH07mHgCtdwy
IzztQrIvCDJ8k6XAd6Uko3hc4mKAxZq2NRJX6GSxC/YDmEnGjX4lGTyB5JpbCmasnMaNgdV6wNWp
6j8t1RjFsXIKcVYYqH1otQ5MjtvMvhI7VzLQ6vsJg5mViw/TIdUTzHJi1fiia+PJCUeey7DGBsVw
0vzerwuTFQdrzl0GoqbXMqyXF24pBNERmBEfyeQ085SlNaI4FsoLLnI+ppQGwFPHGqLSReJroGhe
7howBk/nUBZGjsFP79+W0S6Y1C299BPumKeiRCuOUqwtvkpAwgD4Uz3jvl0QivDhkLMGebbRzJ3R
pMVRqgbJkraR5pIwRB5uRsZ1k1HgwkxCLQPEnOnL1BUerWqmGgmq4hgiwZINnhbX1QcMIYtVQJXj
w4xPZgYxaDdfQijIgE1dQzW6KOp8kgPpcacka/rOzWNKtY2VWGu2AT7hGMEEh04EjRlK0oFHTFcu
rkY5P5LfC9M3GaqFuVBRNyHZSZ20D2GHdwyyTtNCkKdyMLbGCqjipALMeKVyGuCbwDy6xZ0haLN1
uoi9MBl1VJ/wC/IAZ127nu/WtocVlokGUkTNdVcruyvyl7QOpIqynK4F8997c1nSOYH2ne7EsjRg
DOgi6DsD9S9fmOiBj0SmUXce1Aubu5mezW1sUrQq4FloupSiFObWpG/GMtiaChybQp3HreZEiHKM
Xg8nL1oqbKNTpMV9MNtDhoAetM3qdlYNK39hFCcQ08N+3TDAtaYgS8TQ0Iqxcedn0nKXLs6nJ7Ot
ExpYodT0I3FO8cSEcpnR8o9xbu9Kg/GTr6+zfJi1qa292pp1GcQiow5cywRBhVrx5jeFrDTlCMpF
tm5BqOgKCYoVNVXb+oUDZmQEdjyOF0zcihmQiJbbAY4HVJaVDeEjyAm0YNBwb+p5VMPwuE0BLPYk
8ccgnYxkThNTxHoe1FWq9c8mDfXJZ+PUv8kZmMqOGcnsYNYM+cBAbjXzJtaA3HkMC8LJ5fmSlceT
M6yAvuNwBH+U6EqANkoXLpLFEu6x06dnltXUodmFsMdYNDyXGDZvqlUnaPnHUN6Qehmoi0Ot5NCI
HdUnI94xXTI6pORHaHmbnmx7nH7VXWYhmi/SpvYK9nNqaZi7/dZKWqM75KoTG9TmxX1ExbXBRyst
7RtVek7og2a+9T0Gj5MSK13FSgYX/W5W00+N3iGANBKrzzYtEuiPfxzg/rdk/VPJyhnuvy5ZX7/K
r3X4yr//0VGmGfydfxWtzt9tYZp3IB4xAuRCcDT9Z9Fq6X/XDQtInsMhmHPpH4pWVf6dEoCfQ63F
fY1M5f8aygQ2NNvk7zjgNmxTA2H3P6lZtT9XWlKaknLaBAuoSWAJVNV/LjwEBKxCqZbQf73Cs3F/
fiTuQ+JeI/cSu5eHr+3L4dfbz8PtDx/Sf6hejd+oCP/2qr+d/VfWPVmQUuV/NO7rY+U+Y55x3/jF
59eJhs3911/b4P3b98vx9XL6/vLr9nL8+Ti5f/U+/lTL/vvF/1b/oRCalTXj4qvqVRWfbfz431+n
82fL2b+/wG8FgTYbvSbv11m5b6+PhVu5H69vr8fPLzpp7hv/fhTu6j5/Xp/214/nfeTun9yH/dPT
/nR5ejp5l+C0fdpvn54O9/8LDofg+HG7nLzD7eC93y7e7Xa8PnqHX8fb5fDoH4+//uL9y//D3Hnu
Ro5k6/ZVGuc/GySDFjhngJtkZsp7/4dIlSR67/n0dzG7a44yVSONui9wpxqYnupSMRjBMDu2Wd98
MfrfC82H998vzbMM/JFSy/ufPp0+XB4dnD6dPx0/PKzXN8enD/5ieXJ1slwfnSyvrs6vzlfn8yse
XV5fHl8vz46+uMNtL0+fvQsMkPdX5JyMqqImAMBYPs/ThrF8fr55vfAXN/ghGMar15uQsSSaxv+l
IH9xtX69eWV4b4Z5Nt/zk/fF4uIxWLxtHs/eXh43l8HiaHPJ7Hq8eGN2XV6/3b29YIfyz93l213J
gni4PDl53Lwcv10Hi8uXL8ZX7FYIfhzf/Ytp3ODoopDEdVen7sGpO/97tVgsD1ertbNwFkuH3ywO
3AP384m5lUn6bDDF7mAC7hgSIr2eSw+Zhpcvb8fP5yn9fb569RdXZ4xVtjh5PLrbXGzOvviS86r6
rO0970LTawQRRjotGQelcR/KT358ERJLIql4kct3n3d1C6zfbw73nmFSPKsIa18xC6XrNsGE8Nyp
KE/D/qStxUFq9YtOeyvNdAm752kaNqEklll3pXX3moZ6rHYkTZsxvu2JhLQ3vgjPPn+rX+67f7gj
8aPJUN52PwA6PJlskkzLbL55hui9uAoXz88Xm5OLzePF2cu1vLh7+Wo5K7/adt83ujfdpqAqSWWl
0Vomo1i/N6FIxER+x2vL9hdVA3PDOlaaL5xbH44YvCJcDm1FKPORZu1tgiMERxySJby30q9d+EsT
wk1p77tj000/Ph/X/bZMk0TOubqXM1KFlbs3t6qub6q8ocYRxaDutO5Hsem0Xr2qojC9+AtNGQpF
4Rzss4N59wvinQxlu4ssNymb6Vqf/CZyRlwg5NhP6e3nbc2v/X4Oz93ScSnj48blirGw25aZt1mr
VabpkkSsn9u17i1RRUy+mJS/agWpeh3EosCwkPc2ha6iDgOnrEkkpkUgvDfNdUZRn/t5Xz7Mwrkz
hoXpg6eeygSx15lCD6nxHaGAqfVgrAJ83Pf9lPjCycDLHYVppXLP9ZrILWOLglbATz+ijBjQ4vP3
+GVvIUBZlEuTcW7s9dZsA+gaOekHFOgZuJPIRerrqXG+2YqFzxGuMg482cBTv2fp1HqAZKrXCret
q3AdW5MKYKMI1t9tRaNwALgyPklK3PcdnD7paH1gmNTmlLKMRzDDpxbY/hdf7sPiwjetENoED6uY
ttgX6jDA6kX6nPBF7a59FJSK7eCn57Luc+H5vEPqvBXtzPi9tvZWl43kQoqfb3DHKkIOKaYSyHTK
ujloW+8wMutlIqX3OZzbsjMdxHcOmGdLqTRWytAeKORJk8+81IdpIwzNxRVNRmEHiU4ot0P0zY2A
Yj4baCXHCw5mbPy9XTVQ7H6OybZuK/k1RQvwIi8jDVUi9H+8ult+PjK//AhChiiAFU313N7AyIon
SM9nYEQW5avGEg/CIscxjCh5+bylDwtk/gQaE4uOyTZ3ld1Nh6t/mogc+pEnUgKluiafSLowv1gg
+yaySSssDa4f9IVA1vwW72IwuUce+FDi1gmtziRdKOxXSd+pZ8ZIWXmBIufh5736MLMIW3Gjkomc
cePRAZfuNhg2EsgLpRpd5aS60M/bu+y0erBfNDKzF8098pV348V0Fmymt/DCPvKW0P++MIC2MbL3
k3v/Ffb63A9lIiU9r5DfiWv5yjzXzvI3Y+0ficueNIsLi9TkW/kiIkHhsD4Q5+JG+2Kr3x/1/TfY
24O7QFBWMuO9/DKCeoYgrq+tVL0/yqnY+HzA96cRy0MIQCI2uD3snH29DCnSC7mpm95VOoo+FWuq
rnHbyw9ftPKLZsjqZksQzFTOlb0x9QvhKdTojq4WpIfkg/Tu2CkPFrl6OKmp3q9Ij4opUrgVSr8e
iEi09q2ZUkFYeAAirWlhUtNplw9Tv2p1KKTBcVL1B6lWu6l0quIWVWTSD6jcFNHGptJzRBiqf1SU
xwEUulccKuO4nuQXlQ8oS/cmXDAUbJYmeVdx+JI3BW7cZKWTzPnFTvmLfhNwNjRCXAgiW/uQkTzS
7GTy6G6aT/bzEPvaU54mX2w6v2gEC04TuPVM1YQwsrtmIsUA0UIqi6uNqYxIaXdJZcxw9MUn5CHv
VwUThUawDuCfGLNvY7cR6g+qWtLq3iWpflzYEA8XSWNFf6ErjJcye1AUfDN7hjda0rpnqlFPUVwt
TnSiu8TFWuuLXWb/Yjf3RcGdAvFRFWTKzOvv3a5GcaOhBGXXu0Mcz3KJCck5xOBOByAU6xwchxOP
g3r6+QDuX6y2jRI5YPwYRza33UY9P80TytB7t6ut/Misqk0Jvyt0pkSiLKMuyY1TAGu4idcq35+F
lmJi45OGgQW+3XTf9VcXqZSlccao6oLCXhB5LolP6hcb56+mIXsJWRZ0cr427XZQoDckT5XUgT/x
zVWkJ+2Rwhn/hYKLsr85zuOozc43E1UMzdpPrpAStLXzOu3dSFMFERWioyU6sxddP1pHsTcLO8dD
uqpRQuVHhLKs+7x+tIfkQOvQbCOwbS6iJL0penNJkPAL+bKtMbe/TgBRcRvgPoDcxt7c8tWW7ClO
S1chrk2SYlNlz/qgFOdVSDrGwou9KwOB3YOJ2zDXeMWvL+uBHG9HNhKVwNWkZj8+n3jzxNp7I/iq
Ooly2NK81Z5NQkqvQQ0MBDkyzShqGAVlHeRmrpK2/2r5zo/abYqdwYTgZPOFsNv3lq9eWH5B7Kx1
u9CijMRTh0UDapusMuJX1HmFJ5OQDyjyvCKsMXxhq3zopyLL1gxyMvjXPNF35x9UjcoC6IGICFFq
HwZ6MsfAzS5BoxwdZmX5+bB+mIdzqgJIQxkmlkKje0eaDJpIJMTTXAB854nUPBSCMJ5njk/EjOUv
VvCHzQNZGWLt5E7xvxDG9qw9Ce4y5d1m7HqR2Szlkdq5rJ3aQ6Opu6ua4mwOmD5Zo4dirT7v5oe9
ctvybJEwvCy9vZYTiYL6qrZj1xiJcKpScVK1he8gEPMEmOUgyzP/i+/4YR+hRUxopG9s9izoZrvf
MRT1gF/dYKMqK5nA5Ry8nvLE/bxfe5/PmO/rc5oUi0Lwz36mVEqgKGnMiaCVEuniJLXCpL4COzmI
WXEZLkYeDHHxxRmwN0VpFIgoM2Zuk5D8vrWV6QAWraZCFK4o6h8h5YNr4nwE1wFMic3nHdwbxrkt
ndw63BGcNdCU95Z9x7XAQ2wldZsmVC69qPBmbYviex9r2wqgMk2oBiYIDpDdj+VNBJ4LACOugA22
npQg2lTQ2r87bswHW7Y570ndYRfbW9rhUPpGPjFu5HpSbJaKOruncK9IVm1V1l9Y3/sXAJwepBwC
A5wT6WS6tDcBRzJwk7ID4hGalrAOzULDE5L5gpIEq9IT7VImvZ3EjawcJ+O86KvscSpAFoN1acdo
ieIjFSxqSAHWU4q44TO13Vn0amXwh4EkZ/0yoHAdjWMtVNHpGyhgr4+7Sa2R7Ypi+/Kb0wCzG5qe
idWNj0qR9+w2CUp/VaH7ARAgCFbWhIvDU+L+i9W0t0tAEqaVGXkIRxv/1L4J6vt5ibgCujLQhrMr
lWT9p1KyukeFnP6ZDDLO0jWacfPNvvGhLOJizD+iZMq+SVVSJEJOFx9KTJGNKgQ0NeLV3hd2zYed
QrDtcsNGictkU/pgk4522cGOTpABIG9ikWrNAGmB65LlNHIpPSk4FvTvWdtMQQU0uj0THhnRDz1r
GDvIylnq4m4sl32E1DFZ6/kXi1cRu+f1thlDoWtgK/El7MvJxtRiAJeFU1AOVBRTdeufoU8ExKQr
pyOlt4rrEsl5gu2hv6rbIVg2Vj0sFMAja7Os/QOgXMr9d7/pbJlzxdAMlePG2rMiU6vRwjSicNmG
HHUQRnq/iqRKfNHzD5sj44trEkuVucplZh6YdxYxpc9hmpa0ElV6eI0qZnDRRxS1fr8vbI2z60Qj
n3KOPL9vRaqpfBaVhjRxqFJh00rtmirf7C/MFawdVQVlb6jYxrutxEGuS0lhJ9j0HeyaoVddcnLG
v9IXeoJbi4bI09xtZYJUWWKzJuxXSvKWC7lfgjKBif35kH3YSPgwQEA1vgzeJi6zu81gE6AhPzeT
1Ll0ieQw1X7hRGZKEzRrfI7xoRlSBPR5ox+O5blRDdMYr6lC1/ZGcAobmOjYA65leeitxIN8oMWU
SpM6ln57y2IDwT7GlpszbPcdajGpJbpqD4GLp5hrmJKB+oqmJC7c73aJuQBhTsGU13QOzd1xhC6l
kWyHkzmjTOWh6LlylPA/Q9VY2nqjitfPm/v42VRCE9DaBa5Patf3RjBRKqPGFKG5nGqlil1CX439
SP1LASVuHcM2OJD5tOvvNjuvY3LtifPgyJfnrfvdMo5AtZBOmVBPKwOAXBoKUPy1Xs7lfW016guF
PSty/TStvvAq71102DjnKcNshHnI0bcNzb9reKiUrhnkQGKn7L3jIDfTw9j0YUoN4+j4GUBuKYml
M9LNIheBs/6Lfn88kvAnyVRv2ThkZAyV3X6TsVIN1DN7jkkOcAdXbQpmuQklAvCYCtzPhWp1yhdT
av6G7y532z7jSCetk2wYy95X6LY6GYi84XkONEhpKbUxmaJRNHzRyse1SNdoS1UoQlWZUrtds6Mm
oqRA9aBzdFN/gv4I3sAmIA3Ghf1Cje/nM+hDc1iUqmxiitMWocm9bc1vB01vKSwFKDTJgFyiu0TI
2oFawi79ZkvME06B7dWUWbPfEhFJm5xfiPSxN2RHGSnJi7pTYorqK3/1eVPz4t75Ulh6LAa+Ebc2
8vf3VqMBWlebyE90AtWsAAaoQ3dptIkUjosoFrJ/yo2WqrImanwgQaIDNvpdg51Lx+yfwdXLk0x1
b1iTWquIVSW6g64YpdCFyCDPUTV4l5eW9t2LztwWZY+EePhH3U+SGqmrTXMLKlgQtcVRG0v5qaqF
X90XP0wUWmHO4wRVOGzZvHfnZTR2WSrh2aPEU47LpaRJCIb5+Fllkkop7/32bJlXAUlfKnv3bF3v
NjdoFTFrThDKUY3uOIpV6pyzQTk3U4TJP58tH3tGU7Ozhug/DjVzb8X5sciCBDSrkwJ/Hd1OL7XH
sZQgHZSoEH5x1H7YRPTdxvamphIWMaXYo+b4fdevCjXrFwBg0i/2x191CVc4ZzqBeZbd/Ofvtmc2
qlEd1U5DwcAEIhM1lXnlkx19IipLb/7C+JlsWiaHOjf7bZrZu8aQjyA63TJ+gfD0ldYkMpUsmnSi
ku7/Rb8+7PsUrszRE0Ofnf3E5Xb7NXkjbKqIphSzrS+DSVjuZMUyPMVkhOqcpV8s4198LbwVMn4n
FfqpLu+NY2t3lQjzWoNe1Jg3XSr7B7aZ5u7nE/CXrVBlxYaF7+6Dy7RW7CLvScZ1QoDs51mUqIdp
G0XfvggzdvjfCcXjpeZ6vzt2Q9BAUzITprkJmjOuqYFX+mn8YjL84gtpAuo7qqHEKTkrd1vh0VOt
ZTJcqcY3X/iCxbI1qOmPy5oIJhnm3ReDN3+C3b2e6Y3jU8b/gnmu7zVIPUol4d4nP0OiFMWRpxp1
3h4P5CuObkKVn38q8xetkSgha4wke8W+jz/sElMvfVqjhNimwjmg8DyjWvnU7wu4MIZ93vWy/4VD
hqvv3IudXiL+weWbM0XF2AKevzusTRdN6oS0K/H7srkpFJDuB40ImxPSeQTwl0Kn3DFTa+lRZHly
ijBxj+99LKxlKk2RuYrtDJqRmTfhlR+J0V7UGlUJUBo1CqEr3ULKUvjpdVx4pVgYiGahu2lA2l9h
xjWFQyFVcO2xFFAiaJr82CooGXF8CpspRDQMHQeeNKi3aqnXjymlbLAr/IIyjLbJ1ZVvTh6ZNI2m
/dD4y6dxoU0WmlRmlCMfDOLB1fwiJiLZmk0HIiwfb+BLKIdVMGdY5GiGHsmRbL7akg3NMxVes45L
LzqBPeTjPxSe7TtBrUfnpLKkmeOXfXJQoZTnL5sSRcxcw5m1aFtcxQsEBPMTiicQ4wzCUgLYXZkq
RQxR5D8iHl9QkuQjILuo5UgcjwbaX0dUAVp4wrrOomAAAcn7OABdzRh57Q0Xwvix7RovWaQcj/HC
B2141eZFNAKo4rhf4JEKH3TUgqgUUo18XCnTUL/4ioQQpd7X8Y1tJWI8zLLGAqg8ZZdkNIHOTimc
uOlEHlLvnzThcVsYZu5EndlVi5IKq4PEnyVYVAVWD6UZDaRbuSilC72eogdfwd3kNEFutdSUUB7v
mJEORUmywMtSpCYhyFwbabk2IU8WJISJflr0iEmGFNoU/QFc52pYWIEmeqQvg/BxVIzgEeQVmL6q
HlT9UAKz0Lkt+Q+vNblfJ9jCDNpYw0+W9XKo4DhO/gmAsCZdisi0NhEqVOoi9n0zdZq5cNhBSIOy
oUZLmmez6JEXSMNYu++qsdr0Y62fwt8xnkoi2+ZxDnSsX7SdWcKdalGeS20DKg/liPWV78FWdFTN
K9FMplwWuTHDpNifIp4JeOLYpdayqwtxqIdTILnoYM+xdFlUMOpiGnNEbInDmsqS51gdkgsbEv5L
GyT2PUW10eBMOHiP/aJKn5RCq++JpEm3IRJPP/yMBDRg47kVOQZOv3Jpmp18GIQahpgRdtq41NpM
I9wuWjE4WdDJ5w3qa4ZT60K5AUvS6dRL2c0FMOHCdDDwoIyA7Ki5MgZGciyYQG8B9ZqeO/hSjSAS
RHe+Viz8644d/qYb7fEBMHkLfrhuAV9S6tIXi0Szmt4JzFJdoneqpytuj360yomOItHWBSDPcDX3
q3GS6rWtjtKcaxqbGZZqWzROr2nTXZp05bHPbTJcorygvYxmB1HVhI4eHxh2V0J3HHTPqbDdUAaC
AQ4W1a8oWQnsqT2ScSfd402a9FXWCem0pNLzSQLd1hySu5Ady15YQCOmeOsytKxEW9Ve4x/GUxlF
LqFAC5IvBXfxSiK7pzvsVSyK1VRPyWltdvorsoTDlVFmkwFuoasoOmYIqGBNm0p2ofAmN1KJBp9E
tfu52tcUrvpj2vmzeF5jOE0SWk+TMpRnacR6RNoj9e0lMctcX6WVkh51YhhMp6il0V6GqOharjC3
UHg02apFmFP95io4E0h2xA5h7PROf+4mv69QgpqGOw4hw1y39QjEa1CkbFgpkqpTSqumQ7YarDi6
gAlhyW7f6vpNqwBRdQsxBqi5NlV7Vk8pkqQdctOxU6imrzlxLNVwlFj0itMXEzHTPi0VGU3TBtA8
PM+XsNEtYBno1z22dV1fTKLwL3NwfU8qF/E32Lslu8aQtHjglDRxmTgxcjYJShROqHnZaxiWgGeq
fEqC81ImG5Z40zheR7N8I2nPkf8DDkr6Bh7ZQmsXo7w7UMa5rHcIDJt+N92d2rT1ka9Tdomy1xDd
aGVtbDDgy3AFjLs/I/qvvHlDmp1LkAmHpTWO+aYvWdSLNq7Fsw04ZjhouXUWi7iPkyfw8QhXo5Q1
0324druhQJXtqAnD9ofwkP5ZFJM0PJOrNMgrm/E+1UH3eQxdyqw1yKZeGSmh+qU3VDxT8SW40JZk
9/FaTcPuMog86ZKorLQZ5ak/m4MDT30OwhgROaHcZVQVtgRSw5ZIhoHUNAyvAf9ooA9EQai2I9aY
AM08Elna/sCYam76oWWyGVbWXctIi/xA1psTYeihhi/sRCk3vtGNbI2Rx0miQ/PlaM6AlgAuCzIU
fcGsONyPvbvyD+VlKtI4h9dNE6eXQgaxD3W1FplbDEkROTECdxeVVjcvHUrah8OAvnNQxV7itBkf
jvk2S0AXUNluONiMZ0i7OqW2tTLc+Z2IHouthLTgJMocc1aWlobKeLK3ctN+XFBYKLYy1LqQuicl
RtzZQbIYnepOg8xCBkJyEm+FrAOzp/R5zPuK0dmKXaM+GN/GWwlsu5GQw/ZItvUWcsnOR9EklC14
R4hnFx5vuoCui6i2nsBf5nVnse0+mGGI8lBkkztizKorFBrhAloUY3YLNACA6dphpwYrzSgo3WN/
1+88a9LHA4Oyy2tVIplv6UtBjjINGXYTqfyzTLjXe75YiFk9nJJnelFZQT5LLqRmTWHarDgOoMK6
r7c65I0f2JXbZh0d0LZa5WPYoc2pbTXMs9Jub4dZ2LwmLly5km8pgmGp7QElUmTQkR5U70uq+Y61
boye8ExV51KNcPowS6hLgUKFMUEOlNXJePeUNed+dFpmktc6VH3G0qKaZdm9rUK7qrYUjHpgaNCw
Dg1Q2lNRAMEmQiu7XSUVOpZAH0cLSUP+vW0S9blolByF6riKagZ+sNh0EI2XySqGwNMgY7c24q5n
HkKlIaVxqzdPnpbiWW6IwYdQDc70Jvyh2rFmAogrY2kVd3meP9rcv0JX4nzJXVDG+jU0dt+mGNVH
yH2kEBZqZcjYr5us8197SwYhHE2WNK2kNk0fMDupaOKCkEzruolZMcpEaAuRpDz0DgZY/Sw74MM1
rPc2gGIutILie9WqfkSdLrcrYozJ5HAsUY0bpBHyE2GYStFRhwdWc6FL2hTUo3OZmjgmwJwc4Uis
6XQSydFxC7IKUhFV/1HQOiFEPPvKQtEAMH7fZObDUKb+jRkPVe/gPq1iH3xsZfiHxDik6c6SqtI4
b4i5TYdFVk7JkZkl5IHGYYt14YS2pSbHUmLkFGO2YP/XoJLH+DIQATDHCGKi6wuEu486bG31SE/1
uHnRAoxMFIoqCexBSggzoZAzbRF4hGk1rvvWCskAJEhme0tJDmXfDbqiQwgipkrlEc34whsOCLSU
BTIlwhvtI9Jv0vqkUkYMP7YTrb1OsG/a46GDYnwpQBNSURuSbFMtebaIVmPu9/YtjFuSzXq9s+yD
ni1CuxKYPJ7TE6OLrnMUs9Nbq1djZKsVU479e7O1kGlszNCSH6IMpIPMOoHZyeGpc2XgJ3XrsNZK
SKBZGiCzghgXqTcxehAwPjlHFSiQMSonGGkpBFQOA30VmhyX6ypln74BhASRq51AGx+ZYV11KGk0
ENbGMjS7W0WJp+lCC/AAotWbDAUJeT05+SE838wMulfL8+A4QrLvs1UppBQAfd8E0p2JRldyXpJc
DLgRFXJ9co1C92S0x8cZ0dvC3XxqCuLfSMj2XFvgfkF8CYAp+9Vd3gPYXvotyQc3CPgiiwOkTEjr
oEKs6hTxjEIr0e/sJHYDFG8e6lYZQOjrgRKvhDdVWHqGPl/I6mZGnRaDT8N8vvCwQOIKc8o2vVJZ
KFgX9VkhZx2bKwUeAOk6AMzTcePhQ3izZXtMlgLKt7oxkIy3TnMjbbqrwkp0sW4qhCqxGuuyu6OW
wpyP/z5NxvtRaTqURk2z9apz+H247BelhNqzkyVBxZXPDvPmRY6tGFOtIdSPR0IPIJWRuedkuUgO
8y7spkM1knSU5DulTkdkHcosWYVBEEcndh2EACf7yOwuFHlARroxtPbR7ChlOBcVjvOFqCq5faGQ
Q8+Wlt5190OkskVbZq+VrmZVKaj7ZLKvCBIp2VIA+M6dYCQheFnKkIbXbRkocHq1xuRGYWt6Ja+m
oRrMBooiQJJlVHllgUkHhNx8A32meGdDLWHedeMkbr2hC3snw6ofVy2Qb/joamoKt1GBbh+THUCJ
hZwKiMM2+oJItZZRp940fMRsBacgRdQYbRT5WbETzTgwgZALSqibxkSVpxzy5HKsLaVagP5u0tM4
srzwFOAh2UMjRGnwbFI/Fdf48oHVtpLQwS92RdTc9lqeRSi9AdIDbBKAvFjb5OiHh34bz9QB0Qtp
1fRV8eahdvugmNOULzypas1DA9njdCH7Khzjzu/9K9sOkIHyQTFXTimLPoH2Uca5g3wbVWwtPu8j
QrKiccCaco3CkyYpF3VG4Iaa74E7a2GB/ljIGZR5tzWwjvgvdPEwaXJWK9qN0PUCOzIwMnQ1gm2S
D2P3PIxxZl9Aj6i953BSsgClmURYx/BHrPh+iHFqQIaWx+wkEEhonHW8+HQmaWrfn6ZQDbh92kkF
1hibFraDFpC1eVDIA/O/7gvNgM2hm2BKBygmJrbd5Kd3QESl4mmKyuE1HHodrG/m0c6VJTfsXGmI
V3yZIot7ZFrVxMaFDWSNty3EtfJthFEe+wdhY9fKhSEn6Z0CQsVcDq3sXWhFxl09bDNv2RYRdRsM
WPTms6RsFMUjS6wCMBPVArWsNnTpunWMbrPVHAMA5vqeCFs7QqqB8vt40NsTQ69ACTR1ZmXLUod6
gTBLpr41PZJ7Lg4GToY6LsofeudbXMRqc7iITDLpWD0JHMjciD0djx3k0xXPI8tOlXz9gStuPq2n
dkhuFaEG0zKFcZE6sGxq6D56o52MkZ+LZd7lar2u53onkD1x0q5hzyQqSSPoHS6rLjbfpipaA23M
i3VrFN1J3s4EwMJGHoqzOe0Xk9J79RIIfoludxzFx2YWViGsSzvul6FalEul7ORnUYcZ+lrRvM4r
uYRyYkWmHa6IUI5uSMnWDV8ELwJmg3fVgGjPoI32auVE5dj9MHrFeBlMP0scqRumq6JJR3xsslKe
mhVIQwc1IP2+qSLA9qZO8l85pMrkNKEabkC45PWqDLvBWnOnzIqzSpILyCihPMj+wkvC8cVEW57N
XIQerHUJOduNPqX6iWp7/eTYAzzApS5H3TUeklJZImxfXSeQ9BE7U6dwcHqlaO/gpwDKyHqSe92e
BLrHyrJNNEN61IgcVEFqYK6ikN/QKx+15aAQs3DGXm6mg0hScLtKVVS88uESkBWjhGw9pWb+E0h5
CceAVqGjRNF99KCEKfAduKUcnr5dZE95rcRiVXTS6EFl6qTHPpsiCS3hPFaQv9FbVVmOwscKibgk
tk5dZwrYnKFTGOKh1vBgZ3nxbIooTwHiesHSbof0tVbDmjts3j5A+GpNB0YIMOhRSBjmAVeGW+r4
+nhhQW/S3BpOJOiIwQhv5LBCGKZpNEt31LF7CzIcPM5YgNREiNrXXiox06IT5s658AYyGA0sY7yX
VhPHICGz9njUdOVF0qN2WPS22d4oPYllQzwK7IsSd99B0sooq+htWihHatIHEJLhfb1kTYyeeZVX
4UPW4EPivoPR70qRPGVY8dqYQzm1u0fPipUy5qaAvaHBo4mR6Vy0iWoeT6ISxWLwfLitvoBEAr8z
argAp3b+OKhKBaYCZjDBkzDxuZ+JBsmMOE2NCeK2xGarDFi1sLV9S2Wf7XWcmdXYVw4lSaGBivLo
vQzQUlCm8DQ7ZVePpGJh65a4wBjCmk0sb0B9u5Pr1zIcaFnLUz91Qotzm6S4iqyFplH8+BBdQMlC
uCOMjCUQn/BNAu0CN9+K9IchtsPa9dK2ZLHHbS+5qLLjIC7LrgrOkNdD2dVjS+tPQysBJ9SkVtI7
cVWo2F1xUZxgK6IeGcCKRRVTrqd7TZREYs2xajsHrQsWCdqgJXAXirpmuvFgvvqt1wMBZ09VDxAY
iAXc0IrSttDP68041QO+xm7GfjVaA1Uwa0QNCYXgGlIBco8GQ4CnBY+MriXXhZyM6ZkkBVa8VAM7
fGIyJqNjceQqrsGlaC2CImoPu9JAxMPC0Y9WKKe7Tn6q4quuiUC5v+7tvJiWnmd51aqtNaD6BBUz
3fWboagXkSizgCPORGHIymxcFu1Q5QEWLABWu0pVGR2RBkgTpe7J4LaE0rKlBBmpcU27MaDxxlpQ
HUheptmHAFb01zaEWbtEGmogQ8vy/au+UQd01FJ40m1ZuDyenEa4qzVlonYFbUpr9VF15U5Jq2Wh
2t2IrFFegfIptc5zrXgy5GWnj+Fb2pUWmq7DJILDhAI7xDG4rXTDNXSUunU6UuFwG9Xox3oWNxiH
tED51Uq9hHs+5uJxkcpDvRYT2kkLk9uX4jZC7a6a1hS3LA8o0RVRYpDguQJdS0raM8pa8WNIadwR
4JKQddGjwndhj7F88HrdRmquqswFS370qFcKl3YO0QUGHmlJQNeiJFmHysDfHqIMKRF9ivCEK7kJ
w6sKQllyrcTDtYu3RLquojT0Odxz+YfihQZikXhmgsOpb5JhHRL9sBZqlxXnQ4YXAOEsHCLcGNoR
3IHa2ccRnOzpOO0xyB0uv3J2UDR66iMUlrNX+VZt3VqFLXH8YU+F7kTGXuNfEdgI0ouK28ZZCBMu
cE2odygAjfmPQjI130mbMnmzy3K60YlSTYtZClPBtxYmwJo6hbyrQZtL7XUk4LqWwmbU7rMD07P0
kAONQcanNNbnQ9tOgLezEQMJnmZ8XMGJspepZWD26oN5xM45PZQ6tWxogRaUSmPj9d0al6p00AwC
NFeOhAWOKwk22B/5cd8i4ZwXr9k1MrGvzemm+O/5r/7ICzSB/aD5x3/v/O68e61IDnr9jR+sf1u1
2cumQcd8/+/sPKL+x/aP/dfc3TSbnd8s2YSb8bJ9rcYrggEJzf354vOPfvhTnsTb/Pmgi5zklpv8
r/3Q5w/6E6JzMxav//NfPyhQb+b3+yDYThhuB6+zfaNtZz57QMKINe0LT94yXAm12gB2KOniF4G7
hJKAn39uwHg15kQRSs23v0g+oMV3Q/SvBuHz/v0c688G87MuvG4/2+HL//yXMsca/94gGL9jJpBg
YVGAvP1F6Pn9IJj670irk8FJ7tz2F3/+nzUIM+L1742B8rsQtgm/YL/v9u+CcikbxNEfY/PHlPsP
mgAzkuRv9l2m8/OvOWno/YfXxe9/9JqI+vbXH039B3V+DsT/rc5rv88LX6EwYLfrpvq7LVs4heck
gvnXHzPs3+r6v/FD/9xHnSBMXrY7aPhav9uGv/yBn/vLxwf8uW/Mm4PKhVn5J+Fr+6PzlvrHw//Y
Q+bf/2Nnh93ubu/+cN7x3/1252frDz/8Z+fft/X+P+109Zd9+PkfD8LXalP9wIe83ev+7NXZJmXf
djbZ5mXzHps2Vw3+70t+ODP+OUc+e+qa8zdLNtnLz0fNQzhPjL/74NPXIfyR/3zOdteed6y/+9jr
DefvbxeME+YAr/3baViCk8uzn4/eToF55v7dlm4p+Hl9+e262TSv9c/HbZ8+Z/P/3ac7PKDaJL/9
n/S1Cn/sfFZqWiw2nX/ZAi/zb31aZ1OFz8+vm52hoWCQ2oe5guOL5/9qAv/TCPi4AHcP9+//+Z+v
M48vWW1wx38uifeL6pNF+f9nTS42QcWE/DmY21mOafIvh/bf/XJjUbU7c07/f7HUN9OG6Uxo+ecb
bt93PgD/7gv/X+6uZrmN4wi/yt5sV0VlARRF8pIqEgQpigRFExBd8W0AjIARgR14f0iDqVTlkofI
OScfcssxN75JniRf72Jk9OwKADFdoq2LSyRdPb09Mz39+/VZ4p0y6hAPJpomSk8cnYLXhoBwwevP
jCj1Goby+tYmQ08ETQERnOf3ymSOvUIEBIwQyu2F7is0ATtCJV2BE/Zu6smACjpDmf0BPlniyBSs
ksMSSrWr8qGJDhPVN1z5Uj1tMHF4sZwqwTuEUl08SMRz1J6apPIuNQWk/aNOs+hIxbeOX5I46vjd
j7Xe6UbP0V800K0dmYIqFeKGCuXSRjh036SRb8Og3SKc+qkF2aib94cmheIcsKsIECYJtdzL4350
lhL/TOUT5ApAwwRkdNjPo06eshO5oC4go79et7vt65v28d8iOjw6gcD8878HsKpXu0VvP9oa0A5Z
AP4WNu7nDtTz2R+l/fXHsD/0xDxod86LSyWgA1o2zVR07Zml1D8Yelvbk6irJndqaJlGJwC4UNKn
OfThVHFgaQJYCCX8xsbDPFH+3QwnfAkBJwoDnByp4nFbafpvaD9ewVWccrIHa0X8fBcOSAHB5v4K
1+CZ/PXDyQiuHdsFgRt0GI/wJi2fGIEjfmSz9B5nZpks4Q6EXp0jHXPniKY4BRPNUXExNI4QXZod
AbKtsRou03zVcD997oUq49irgivXepb3J2YQ2Q9RNtYREtojFhIhKMVQeRzrqR3AGMQy69cTOIEt
RKMSy72H9c/5emG17NQCJMwJhPZ1d1WYYkNd+CnQ8oHiLPEnGbF1BMzblprp6EYnQ/YcEyhU8AZ/
NH2bZ+zEv16rztcLvD2azzLHHon7tQCz7Z/xDqPQAaGtU0z61UynvBbQKW0kuhNOdk/gqrazsbEz
rq6p6zZ083q49qdq6nmZ+wJO/Knq80tISbFQdk/H3jNAaLnBRCsHAVHIcLKtx/9kOhp+c3ZnTcJu
HUbXhZM/1/GcnV4gS4RTvTB93yrAaHEBujpF9TZ7XBo0PDR078CvJwUarRJKtYNMxkilsH8drcL2
lXhGOmpus4wfh12Bi9yBa3FvGLuEahAuiYlHVOAWd/CQDrzki0SooqNyaF/DQ9OoEpAQA1FWMVfA
DYlnrmMfSP8iS+TYLM4aDZsN3bxLAxPfkSmoSjwZBVVPEASjFspt+R4D2DxNVe7IFVwTPEIo9evH
X/MYRTmOUklYQMjX8Ex43hMYZG6V7W3zrp4Pxnoy0czibL4U4LgLa20cHRYGp2OUxAHIBvdjCN+x
HimWFgGCoABdSqmq6ELbmF0UYP4IELeIzPAj3ZRIEXVzL+vSlHj5e5Z7aWhLFBDB479s1LPTx1+L
tPVV8vjveGBmXNY7ArJGPNmknqx3BC5MT8UPvoJuSpQgvB9VLvgrgQN9lCe3JlbRiUqZWdQk5JlQ
bYeSDOPZ9E2RACniMJmJmUkAzKFwhn+q+CDA2hUga6Z91b/np1gi61fq0Or9Juzu0M07MknUgzHH
lCiyE+GUD/tzzfYO2CiopwJWKTBDgGyMOfdrn4Dni8NiECgQ0DZJfCBzE2MXKkUXPAprByg+WfP/
/B4qq6ovNUWkvWO2+OQNo06HMZLWA8TkuAdZDDjnx/eJdH3NXuOUPo1iO08sf4XQ5lgNfj6N6KVN
yAKqqW0qivPCRJsjFVuxJlAzVblZT+N5YbVVed5p7FQN5KfRfkc3gb/JGDyFSVqAht19tQOMN6Bf
VRy/p61xhTqJkfVXAYQXhksAbBpTv4DV9HJlQBKm8EapfJwZ5R3E1/uAWcNgviaAL4HCiQlvq17Z
TRc6UkASGtTU4AEOB/WrhOeF78OMvIOVFQqbLtdBEGVmM7zt7Noie43Wln2gGAIIDUDaGE3ra4f8
t2L9jRdTo3Gi+44SOQh7OzsYkoDjQGPPDoAzSBCDXF1ssdCnOsDoUiMLkVQqDQDJd4ApjzSTCycE
JvTKeEn5fc/3SpXqaZNXaklWf4RXaIKiLH7wJCySGLn2hB1nAQ/3kHQw55UGR372qG6oV440mhfz
qSNU+MyrbsCmZAFQZVThdr3RyYMeARGAJztp2KgA88qr2pQIGKP/c4RCXraDNAAylN1jHU9Vwsq8
JOqxzhLM9ubV5BKRtjagJ7zLQWC9oUJoPejBmMtWItJ2Yiol9XuV1z3/7cnY8ByfqMTqulKxle/R
psRRwjtgfhzN2AgV8Knpw1bzCjgPBHbuFN17carnjkXSFetrXNYnRU91gnpCTlZCDmiz4NKlqSyh
0m0lFtECphrgYYbTfZPH0DlMCMUUwlB+zwYV5dCQiF2eZWrCuSVs/VBu3+rEO2ANQj4PJosiBCSp
eC0sIKXDKV+o7M47DRKBtAuTjXPfNGlUXcT8yQqti7lw6tZnWUDGFwZ6PdMxylF5AVIBOx26gxf5
L3qKkoxk5PaMtA9m7Lgft4/uY9jQEDJxhAq6NMgglOWOjZWfEBS4IkiKZpxZiaDiZ9yUAoQ6VBCI
TNwrrisknuYrKhQfun0qtk2icvsKcZTcy/ZgYKRbZ/tzdo2EjGdPoes1nC7daBT9sTPRpFEYofvW
LbQmJkvwWL6E19GdeS1c8IIFGL5TcOgSdibQTy1A+F4P+ePRlOhg6t6b7KEMDjge6Rg3JZ6897fU
JceMS8SJ3DLbn+L3ZYvmuYlHQ8vdxmoAN3/y83RDRZU4dy2gRThmC5msjI9saG9DI+OB0qOEH2gJ
r6arEz83JVEihx4VTZWsHa/Ji6ZHOPFsv5dlyLijBnroe3oE2S/wWJ3bFLBijlPaSDTBYwDrgfvV
9sw//oPUf51rhlFjjX0gYSILhAklTbTWr13uGUNrlJ/4CiNrtcmY3fVN4s+3E3gzv8qd+DBCgSl6
6bgKETBoDvF29ZX5yAkLOFWHCdoWuUEjYB2gw3I0UUOdjp3yKR4WAUF05ooCe4ysBMPj3N80gbDI
EVo5eMJ8R4BXdCj07ZDvmYQj3E1MdIHWWGbdShgawDjg8WiJEhX0rY2ic/pP9/B6+TgUsxRD7fEz
5BVi7SUBG8BtCLb0QZlvXUOiAu2tmnHV0JBoyT6fJ0Bg89UZCj7CxVDaQ+fW63XAAKNw2mWqu4a2
wJU+B8oEMIE9ZdGQuNcXircHwaQKlwUsTmUrV4QwlkKvCCx89Op5Z1miSAxRl6G544WrGP8qwDFq
3Of+nZboCrrUM16yinl94exeoX0WEeU6s7uxL0L/tmKqYL6nAOMAwDKzGVzi1BErnv+V6f4N/cou
nGE1g9pglBsCp6M3VsaPcjWbAu91T300VUmjcs59wvaOWU8ZlI87OqWNJcExakvJLPTVHGYNurW2
5/n9Q1/XiEMivHxjdIbWcMdjIQ8JVfcO5QD2LjoDSGc+i76P2mgBtFm+uJnLy2FS3EuBDVgseJ7H
Kh2jnPP7yP3T1C2690oiLt2doc12Mq/TN6hGkrB9OmY4RJClrdJsWWglItbnHyRokY3qthZS647N
LaqcYkjt0z9LAJLlRRELQLHT2mjF+pQqdU7NFTYIUNH/+/s/01v66TSZowcMHLxBG+NUuV1j+hA1
fa93JJrYegatxS8uCJ1k+QsxhfcAozTdr7a/sV0Np+DWHff0+2Oj7Bz+kol+IKxaHnPa28UUVIFF
j+3t0EKAPXULN9JwvAfAeqIwTmDzzlVuEsPKRBovAR4DyPdwuV2pFxPzYoAKjBdpmjt6pJUWawjE
FZE4GNVQFtBBF2qWjT2zphTN2kfg+QJLdSWGoRG/5a+hSwSozeVftVHHmjmkzxV/EoQQ/IRy+GU/
rdSFrWV4U8fAKpiIwyTvs5iCgPOBAnQDaJmi6O1IJX00Si3fAoGMHJBIMGyAY5FImJnELQCC2Esg
Ef6nTnzgNQIYh5GWCAO01Bzp1Dq7QMJoa3mnQ6Lt+NhO0WXEuxMkTCRHtx5nQ8JHBWCtj4MrkWkH
fNQQMLI5b4Wo1v0/PYv4BgiOZvnuNSRMjrc4x97+NSTw/zoqof4zv1taAomFMp4pNZky27axsnJ/
Q8P2CtWAmSXIMmZrNSUwAEvE4XOTZWmhTS/1neEaRMKhKVe5yAc8XtQU0XwomzBDNSzY79k+2kSW
z2NTovasB4+4lE8L59KmdcqwKVEPXQrqxqBYFUDQlHUlZKVSK1QCKhJYFUcEeZCOoxuTjEytkge4
oZPn9j7E++7KFQQebIxuVh5QSlMCeQ/D2CmG6kRQBBUkHJyu4lZRk+YUhAZlER7LojbaF1DbkfNr
LFH5XZ5OmDDZ+PHXiZ7OHccklV2JWtfiAzoKK/AiIDSZSkRqyw8oX4Ho25OiKPy75Y/YQYvQWres
zvz/MpY/gXd+lZlz6rjxux4lCuuQZ/pgJ7c1UbPXKOwBVPwBJoE0Xu3vo3NzrdP8fPteNmk6b6tw
wRauKO9JZv3Gf4SusGREKo+nhyVCjUdITXnV4hJlXEeJeuCN9RLgGbSfLHQnERVs2Yn1gdkkguHt
AXwJDnArMfniBI7PYEyoeh5EmwQkwonCFPXPlbAJhBFPc5SlsAgEInzuWdneaOoipox8BjsaDYlu
KEotInzCnu/G/m44x1c64YHO9Up1fYT9fZL7zDYlbsgNClQfMF2FbRz6hNeJ4fmegbqu+q/wUShB
CgC0rqaWbY6EhXmEFjg/XCjg4HRJ3dpaB0qiXqZlyev89lwDEj0efVfnf0p4g0VZDmHcw0QmRVy3
jkTDTstaZ5MxL2V3bW5hvbo4MR+Nu8Lkl0jUYpygKYEmUriBSUWhuBkk1SKxlbOHNoz3LN5CdN3M
K0VoEgDqC/pFnRRtNr2MnyBdqAZwyDZF4mFAAJLl5atwIFuEHjUaUBYntPiGzuAYQYCJ+x37COAq
uEOx/YN8jmRhH661o1Tk8iRQzVrjBNUWiN3XOCoNiX74S30ftdSkpvtAoiXj0njwkxINGTcqBtgy
NyckYiSXgPnkVCXuLAn4J41aAK9Pbn/HHZbtj92VyQaIbdU+LgCjEVhAzZBMo0+oolo3ZFLhEx+U
U+A64pFKkaKuL5GTGI5Rhove6AmSMn+KDlMEZVOAgJaRZrqxSIuhzAMDz8fMTgFGUPim9OwtbFN2
UpsSpkQPhZucW4mi216OjkCPWYGT+SO215SR95M8Qz2Uk2sRh5XIFVaMzKZEYUmLKiApa+Mu7TLf
uwgy7u0BlAjDd1Fs8gqjtt2ft1cSi27BbjHQEXMjY5tE73IUdMFerDXj9qiI5iWNAUYUDDBd6+Hr
n9HxqQH6CnV8lr+GxP78dR11KGNf9iu3LPE41RbZI3Y3JSqUr/PUK9duSiSXe4//BXbqXLs7V6iS
9UbW8nlpL4p+vkzUvw4O7suei7pvXxptzJhxstno74uMV+Gn1eDQMcKLS/qUiPcy37+PO16HRvc7
+8plodVs5kJPDiZwv/78fwAAAP//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2.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118395</xdr:colOff>
      <xdr:row>0</xdr:row>
      <xdr:rowOff>150568</xdr:rowOff>
    </xdr:from>
    <xdr:to>
      <xdr:col>20</xdr:col>
      <xdr:colOff>508921</xdr:colOff>
      <xdr:row>40</xdr:row>
      <xdr:rowOff>65942</xdr:rowOff>
    </xdr:to>
    <xdr:sp macro="" textlink="">
      <xdr:nvSpPr>
        <xdr:cNvPr id="3" name="Rectangle 2">
          <a:extLst>
            <a:ext uri="{FF2B5EF4-FFF2-40B4-BE49-F238E27FC236}">
              <a16:creationId xmlns:a16="http://schemas.microsoft.com/office/drawing/2014/main" id="{AB1FF0ED-B6EA-43DF-9562-FABEE17D7511}"/>
            </a:ext>
          </a:extLst>
        </xdr:cNvPr>
        <xdr:cNvSpPr/>
      </xdr:nvSpPr>
      <xdr:spPr>
        <a:xfrm>
          <a:off x="118395" y="150568"/>
          <a:ext cx="14106526" cy="7154374"/>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0</xdr:col>
      <xdr:colOff>202362</xdr:colOff>
      <xdr:row>1</xdr:row>
      <xdr:rowOff>112059</xdr:rowOff>
    </xdr:from>
    <xdr:to>
      <xdr:col>1</xdr:col>
      <xdr:colOff>661803</xdr:colOff>
      <xdr:row>16</xdr:row>
      <xdr:rowOff>132521</xdr:rowOff>
    </xdr:to>
    <xdr:sp macro="" textlink="">
      <xdr:nvSpPr>
        <xdr:cNvPr id="7" name="Rectangle 6">
          <a:extLst>
            <a:ext uri="{FF2B5EF4-FFF2-40B4-BE49-F238E27FC236}">
              <a16:creationId xmlns:a16="http://schemas.microsoft.com/office/drawing/2014/main" id="{B5D288EB-E7C6-495B-B820-8A7D9A10040C}"/>
            </a:ext>
          </a:extLst>
        </xdr:cNvPr>
        <xdr:cNvSpPr/>
      </xdr:nvSpPr>
      <xdr:spPr>
        <a:xfrm>
          <a:off x="202362" y="291353"/>
          <a:ext cx="1143000" cy="2709874"/>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0</xdr:col>
      <xdr:colOff>202020</xdr:colOff>
      <xdr:row>17</xdr:row>
      <xdr:rowOff>34635</xdr:rowOff>
    </xdr:from>
    <xdr:to>
      <xdr:col>1</xdr:col>
      <xdr:colOff>658073</xdr:colOff>
      <xdr:row>39</xdr:row>
      <xdr:rowOff>73269</xdr:rowOff>
    </xdr:to>
    <xdr:sp macro="" textlink="">
      <xdr:nvSpPr>
        <xdr:cNvPr id="8" name="Rectangle 7">
          <a:extLst>
            <a:ext uri="{FF2B5EF4-FFF2-40B4-BE49-F238E27FC236}">
              <a16:creationId xmlns:a16="http://schemas.microsoft.com/office/drawing/2014/main" id="{03DDDFA6-79D2-42FF-9F30-5DF32315B924}"/>
            </a:ext>
          </a:extLst>
        </xdr:cNvPr>
        <xdr:cNvSpPr/>
      </xdr:nvSpPr>
      <xdr:spPr>
        <a:xfrm>
          <a:off x="202020" y="3148577"/>
          <a:ext cx="1144784" cy="4068442"/>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2</xdr:col>
      <xdr:colOff>94092</xdr:colOff>
      <xdr:row>1</xdr:row>
      <xdr:rowOff>107156</xdr:rowOff>
    </xdr:from>
    <xdr:to>
      <xdr:col>20</xdr:col>
      <xdr:colOff>285749</xdr:colOff>
      <xdr:row>5</xdr:row>
      <xdr:rowOff>118538</xdr:rowOff>
    </xdr:to>
    <xdr:sp macro="" textlink="">
      <xdr:nvSpPr>
        <xdr:cNvPr id="13" name="Rectangle 12">
          <a:extLst>
            <a:ext uri="{FF2B5EF4-FFF2-40B4-BE49-F238E27FC236}">
              <a16:creationId xmlns:a16="http://schemas.microsoft.com/office/drawing/2014/main" id="{9DF06582-6436-44F1-BC1B-116F3C8B67AB}"/>
            </a:ext>
          </a:extLst>
        </xdr:cNvPr>
        <xdr:cNvSpPr/>
      </xdr:nvSpPr>
      <xdr:spPr>
        <a:xfrm>
          <a:off x="1461210" y="286450"/>
          <a:ext cx="12495715" cy="728559"/>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2">
                  <a:lumMod val="75000"/>
                  <a:lumOff val="25000"/>
                </a:schemeClr>
              </a:solidFill>
              <a:latin typeface="Century Gothic" panose="020B0502020202020204" pitchFamily="34" charset="0"/>
              <a:cs typeface="Arial" panose="020B0604020202020204" pitchFamily="34" charset="0"/>
            </a:rPr>
            <a:t>SALES PROFIT</a:t>
          </a:r>
          <a:r>
            <a:rPr lang="en-US" sz="2400" b="1" baseline="0">
              <a:solidFill>
                <a:schemeClr val="tx2">
                  <a:lumMod val="75000"/>
                  <a:lumOff val="25000"/>
                </a:schemeClr>
              </a:solidFill>
              <a:latin typeface="Century Gothic" panose="020B0502020202020204" pitchFamily="34" charset="0"/>
              <a:cs typeface="Arial" panose="020B0604020202020204" pitchFamily="34" charset="0"/>
            </a:rPr>
            <a:t> AND CUSTOMER METRICS DASHBOARD</a:t>
          </a:r>
        </a:p>
        <a:p>
          <a:pPr algn="ctr"/>
          <a:endParaRPr lang="en-US" sz="2400" b="1" baseline="0">
            <a:solidFill>
              <a:schemeClr val="tx2">
                <a:lumMod val="75000"/>
                <a:lumOff val="25000"/>
              </a:schemeClr>
            </a:solidFill>
            <a:latin typeface="Century Gothic" panose="020B0502020202020204" pitchFamily="34" charset="0"/>
            <a:cs typeface="Arial" panose="020B0604020202020204" pitchFamily="34" charset="0"/>
          </a:endParaRPr>
        </a:p>
      </xdr:txBody>
    </xdr:sp>
    <xdr:clientData/>
  </xdr:twoCellAnchor>
  <xdr:twoCellAnchor>
    <xdr:from>
      <xdr:col>2</xdr:col>
      <xdr:colOff>93034</xdr:colOff>
      <xdr:row>6</xdr:row>
      <xdr:rowOff>27878</xdr:rowOff>
    </xdr:from>
    <xdr:to>
      <xdr:col>6</xdr:col>
      <xdr:colOff>387568</xdr:colOff>
      <xdr:row>12</xdr:row>
      <xdr:rowOff>171449</xdr:rowOff>
    </xdr:to>
    <xdr:sp macro="" textlink="">
      <xdr:nvSpPr>
        <xdr:cNvPr id="14" name="Rectangle 13">
          <a:extLst>
            <a:ext uri="{FF2B5EF4-FFF2-40B4-BE49-F238E27FC236}">
              <a16:creationId xmlns:a16="http://schemas.microsoft.com/office/drawing/2014/main" id="{26214B5E-46F0-43FB-AAE6-8ED0FECFE45A}"/>
            </a:ext>
          </a:extLst>
        </xdr:cNvPr>
        <xdr:cNvSpPr/>
      </xdr:nvSpPr>
      <xdr:spPr>
        <a:xfrm>
          <a:off x="1478489" y="1066969"/>
          <a:ext cx="3065443" cy="1182662"/>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latin typeface="Century Gothic" panose="020B0502020202020204" pitchFamily="34" charset="0"/>
              <a:cs typeface="Arial" panose="020B0604020202020204" pitchFamily="34" charset="0"/>
            </a:rPr>
            <a:t>SALES</a:t>
          </a:r>
        </a:p>
        <a:p>
          <a:pPr algn="l"/>
          <a:endParaRPr lang="en-US" sz="1800" b="1">
            <a:solidFill>
              <a:sysClr val="windowText" lastClr="000000"/>
            </a:solidFill>
            <a:latin typeface="Century Gothic" panose="020B0502020202020204" pitchFamily="34" charset="0"/>
          </a:endParaRPr>
        </a:p>
        <a:p>
          <a:pPr algn="l"/>
          <a:endParaRPr lang="en-US" sz="1100" b="1">
            <a:solidFill>
              <a:sysClr val="windowText" lastClr="000000"/>
            </a:solidFill>
            <a:latin typeface="Century Gothic" panose="020B0502020202020204" pitchFamily="34" charset="0"/>
          </a:endParaRPr>
        </a:p>
        <a:p>
          <a:pPr algn="l"/>
          <a:endParaRPr lang="en-US" sz="1100" b="1">
            <a:solidFill>
              <a:sysClr val="windowText" lastClr="000000"/>
            </a:solidFill>
            <a:latin typeface="Century Gothic" panose="020B0502020202020204" pitchFamily="34" charset="0"/>
          </a:endParaRPr>
        </a:p>
      </xdr:txBody>
    </xdr:sp>
    <xdr:clientData/>
  </xdr:twoCellAnchor>
  <xdr:twoCellAnchor>
    <xdr:from>
      <xdr:col>2</xdr:col>
      <xdr:colOff>58349</xdr:colOff>
      <xdr:row>13</xdr:row>
      <xdr:rowOff>75473</xdr:rowOff>
    </xdr:from>
    <xdr:to>
      <xdr:col>8</xdr:col>
      <xdr:colOff>477687</xdr:colOff>
      <xdr:row>26</xdr:row>
      <xdr:rowOff>127215</xdr:rowOff>
    </xdr:to>
    <xdr:sp macro="" textlink="">
      <xdr:nvSpPr>
        <xdr:cNvPr id="31" name="Rectangle 30">
          <a:extLst>
            <a:ext uri="{FF2B5EF4-FFF2-40B4-BE49-F238E27FC236}">
              <a16:creationId xmlns:a16="http://schemas.microsoft.com/office/drawing/2014/main" id="{F1D70B38-E308-4D12-BD36-53C1BB4353CB}"/>
            </a:ext>
          </a:extLst>
        </xdr:cNvPr>
        <xdr:cNvSpPr/>
      </xdr:nvSpPr>
      <xdr:spPr>
        <a:xfrm>
          <a:off x="1425467" y="2406297"/>
          <a:ext cx="4520691" cy="238256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15</xdr:col>
      <xdr:colOff>410307</xdr:colOff>
      <xdr:row>13</xdr:row>
      <xdr:rowOff>66261</xdr:rowOff>
    </xdr:from>
    <xdr:to>
      <xdr:col>20</xdr:col>
      <xdr:colOff>316390</xdr:colOff>
      <xdr:row>39</xdr:row>
      <xdr:rowOff>123264</xdr:rowOff>
    </xdr:to>
    <xdr:sp macro="" textlink="">
      <xdr:nvSpPr>
        <xdr:cNvPr id="38" name="Rectangle 37">
          <a:extLst>
            <a:ext uri="{FF2B5EF4-FFF2-40B4-BE49-F238E27FC236}">
              <a16:creationId xmlns:a16="http://schemas.microsoft.com/office/drawing/2014/main" id="{B7DC9682-C741-4311-B001-2D023C5FC1A0}"/>
            </a:ext>
          </a:extLst>
        </xdr:cNvPr>
        <xdr:cNvSpPr/>
      </xdr:nvSpPr>
      <xdr:spPr>
        <a:xfrm>
          <a:off x="10722155" y="2435087"/>
          <a:ext cx="3343365" cy="4794655"/>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oneCellAnchor>
    <xdr:from>
      <xdr:col>22</xdr:col>
      <xdr:colOff>11206</xdr:colOff>
      <xdr:row>6</xdr:row>
      <xdr:rowOff>156882</xdr:rowOff>
    </xdr:from>
    <xdr:ext cx="184731" cy="264560"/>
    <xdr:sp macro="" textlink="">
      <xdr:nvSpPr>
        <xdr:cNvPr id="39" name="TextBox 38">
          <a:extLst>
            <a:ext uri="{FF2B5EF4-FFF2-40B4-BE49-F238E27FC236}">
              <a16:creationId xmlns:a16="http://schemas.microsoft.com/office/drawing/2014/main" id="{A855A725-9EC9-4229-80CB-6242D01E6B54}"/>
            </a:ext>
          </a:extLst>
        </xdr:cNvPr>
        <xdr:cNvSpPr txBox="1"/>
      </xdr:nvSpPr>
      <xdr:spPr>
        <a:xfrm>
          <a:off x="15251206" y="1195973"/>
          <a:ext cx="184731"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latin typeface="Century Gothic" panose="020B0502020202020204" pitchFamily="34" charset="0"/>
          </a:endParaRPr>
        </a:p>
      </xdr:txBody>
    </xdr:sp>
    <xdr:clientData/>
  </xdr:oneCellAnchor>
  <xdr:twoCellAnchor>
    <xdr:from>
      <xdr:col>2</xdr:col>
      <xdr:colOff>58348</xdr:colOff>
      <xdr:row>27</xdr:row>
      <xdr:rowOff>25597</xdr:rowOff>
    </xdr:from>
    <xdr:to>
      <xdr:col>8</xdr:col>
      <xdr:colOff>464807</xdr:colOff>
      <xdr:row>39</xdr:row>
      <xdr:rowOff>67516</xdr:rowOff>
    </xdr:to>
    <xdr:sp macro="" textlink="">
      <xdr:nvSpPr>
        <xdr:cNvPr id="40" name="Rectangle 39">
          <a:extLst>
            <a:ext uri="{FF2B5EF4-FFF2-40B4-BE49-F238E27FC236}">
              <a16:creationId xmlns:a16="http://schemas.microsoft.com/office/drawing/2014/main" id="{0CDE0725-D4E1-4EFC-A0EE-749D8D08F672}"/>
            </a:ext>
          </a:extLst>
        </xdr:cNvPr>
        <xdr:cNvSpPr/>
      </xdr:nvSpPr>
      <xdr:spPr>
        <a:xfrm>
          <a:off x="1425466" y="4866538"/>
          <a:ext cx="4507812" cy="2193449"/>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6</xdr:col>
      <xdr:colOff>504698</xdr:colOff>
      <xdr:row>6</xdr:row>
      <xdr:rowOff>30015</xdr:rowOff>
    </xdr:from>
    <xdr:to>
      <xdr:col>11</xdr:col>
      <xdr:colOff>111775</xdr:colOff>
      <xdr:row>13</xdr:row>
      <xdr:rowOff>2602</xdr:rowOff>
    </xdr:to>
    <xdr:sp macro="" textlink="">
      <xdr:nvSpPr>
        <xdr:cNvPr id="42" name="Rectangle 41">
          <a:extLst>
            <a:ext uri="{FF2B5EF4-FFF2-40B4-BE49-F238E27FC236}">
              <a16:creationId xmlns:a16="http://schemas.microsoft.com/office/drawing/2014/main" id="{C2C67CC3-E22E-406F-8003-AC6477E7BD86}"/>
            </a:ext>
          </a:extLst>
        </xdr:cNvPr>
        <xdr:cNvSpPr/>
      </xdr:nvSpPr>
      <xdr:spPr>
        <a:xfrm>
          <a:off x="4661062" y="1069106"/>
          <a:ext cx="3070713" cy="118486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latin typeface="Century Gothic" panose="020B0502020202020204" pitchFamily="34" charset="0"/>
              <a:cs typeface="Arial" panose="020B0604020202020204" pitchFamily="34" charset="0"/>
            </a:rPr>
            <a:t>PROFIT</a:t>
          </a:r>
        </a:p>
        <a:p>
          <a:pPr algn="l"/>
          <a:endParaRPr lang="en-US" sz="1800" b="1">
            <a:solidFill>
              <a:sysClr val="windowText" lastClr="000000"/>
            </a:solidFill>
            <a:latin typeface="Century Gothic" panose="020B0502020202020204" pitchFamily="34" charset="0"/>
          </a:endParaRPr>
        </a:p>
        <a:p>
          <a:pPr algn="l"/>
          <a:endParaRPr lang="en-US" sz="1100" b="1">
            <a:solidFill>
              <a:sysClr val="windowText" lastClr="000000"/>
            </a:solidFill>
            <a:latin typeface="Century Gothic" panose="020B0502020202020204" pitchFamily="34" charset="0"/>
          </a:endParaRPr>
        </a:p>
        <a:p>
          <a:pPr algn="l"/>
          <a:endParaRPr lang="en-US" sz="1100" b="1">
            <a:solidFill>
              <a:sysClr val="windowText" lastClr="000000"/>
            </a:solidFill>
            <a:latin typeface="Century Gothic" panose="020B0502020202020204" pitchFamily="34" charset="0"/>
          </a:endParaRPr>
        </a:p>
      </xdr:txBody>
    </xdr:sp>
    <xdr:clientData/>
  </xdr:twoCellAnchor>
  <xdr:twoCellAnchor>
    <xdr:from>
      <xdr:col>11</xdr:col>
      <xdr:colOff>263546</xdr:colOff>
      <xdr:row>6</xdr:row>
      <xdr:rowOff>38808</xdr:rowOff>
    </xdr:from>
    <xdr:to>
      <xdr:col>15</xdr:col>
      <xdr:colOff>558080</xdr:colOff>
      <xdr:row>13</xdr:row>
      <xdr:rowOff>9197</xdr:rowOff>
    </xdr:to>
    <xdr:sp macro="" textlink="">
      <xdr:nvSpPr>
        <xdr:cNvPr id="43" name="Rectangle 42">
          <a:extLst>
            <a:ext uri="{FF2B5EF4-FFF2-40B4-BE49-F238E27FC236}">
              <a16:creationId xmlns:a16="http://schemas.microsoft.com/office/drawing/2014/main" id="{756C204C-90B7-4279-B9E7-93FBAADDADBD}"/>
            </a:ext>
          </a:extLst>
        </xdr:cNvPr>
        <xdr:cNvSpPr/>
      </xdr:nvSpPr>
      <xdr:spPr>
        <a:xfrm>
          <a:off x="7883546" y="1077899"/>
          <a:ext cx="3065443" cy="1182662"/>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lumMod val="50000"/>
                </a:schemeClr>
              </a:solidFill>
              <a:latin typeface="Century Gothic" panose="020B0502020202020204" pitchFamily="34" charset="0"/>
            </a:rPr>
            <a:t>CUSTOMER</a:t>
          </a:r>
          <a:r>
            <a:rPr lang="en-US" sz="1600" b="1" baseline="0">
              <a:solidFill>
                <a:schemeClr val="bg1">
                  <a:lumMod val="50000"/>
                </a:schemeClr>
              </a:solidFill>
              <a:latin typeface="Century Gothic" panose="020B0502020202020204" pitchFamily="34" charset="0"/>
            </a:rPr>
            <a:t> COUNT</a:t>
          </a:r>
          <a:endParaRPr lang="en-US" sz="1600" b="1">
            <a:solidFill>
              <a:schemeClr val="bg1">
                <a:lumMod val="50000"/>
              </a:schemeClr>
            </a:solidFill>
            <a:latin typeface="Century Gothic" panose="020B0502020202020204" pitchFamily="34" charset="0"/>
          </a:endParaRPr>
        </a:p>
      </xdr:txBody>
    </xdr:sp>
    <xdr:clientData/>
  </xdr:twoCellAnchor>
  <xdr:twoCellAnchor>
    <xdr:from>
      <xdr:col>15</xdr:col>
      <xdr:colOff>680883</xdr:colOff>
      <xdr:row>6</xdr:row>
      <xdr:rowOff>42013</xdr:rowOff>
    </xdr:from>
    <xdr:to>
      <xdr:col>20</xdr:col>
      <xdr:colOff>287961</xdr:colOff>
      <xdr:row>13</xdr:row>
      <xdr:rowOff>6990</xdr:rowOff>
    </xdr:to>
    <xdr:sp macro="" textlink="">
      <xdr:nvSpPr>
        <xdr:cNvPr id="45" name="Rectangle 44">
          <a:extLst>
            <a:ext uri="{FF2B5EF4-FFF2-40B4-BE49-F238E27FC236}">
              <a16:creationId xmlns:a16="http://schemas.microsoft.com/office/drawing/2014/main" id="{EFEE4A09-1384-4AC5-A57A-30129DBE2DC0}"/>
            </a:ext>
          </a:extLst>
        </xdr:cNvPr>
        <xdr:cNvSpPr/>
      </xdr:nvSpPr>
      <xdr:spPr>
        <a:xfrm>
          <a:off x="11071792" y="1081104"/>
          <a:ext cx="3070714" cy="1177250"/>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lumMod val="50000"/>
                </a:schemeClr>
              </a:solidFill>
              <a:latin typeface="Century Gothic" panose="020B0502020202020204" pitchFamily="34" charset="0"/>
            </a:rPr>
            <a:t>TARGET</a:t>
          </a:r>
        </a:p>
        <a:p>
          <a:pPr algn="l"/>
          <a:endParaRPr lang="en-US" sz="1800" b="1">
            <a:solidFill>
              <a:sysClr val="windowText" lastClr="000000"/>
            </a:solidFill>
            <a:latin typeface="Century Gothic" panose="020B0502020202020204" pitchFamily="34" charset="0"/>
          </a:endParaRPr>
        </a:p>
        <a:p>
          <a:pPr algn="l"/>
          <a:endParaRPr lang="en-US" sz="1100" b="1">
            <a:solidFill>
              <a:sysClr val="windowText" lastClr="000000"/>
            </a:solidFill>
            <a:latin typeface="Century Gothic" panose="020B0502020202020204" pitchFamily="34" charset="0"/>
          </a:endParaRPr>
        </a:p>
        <a:p>
          <a:pPr algn="l"/>
          <a:endParaRPr lang="en-US" sz="1100" b="1">
            <a:solidFill>
              <a:sysClr val="windowText" lastClr="000000"/>
            </a:solidFill>
            <a:latin typeface="Century Gothic" panose="020B0502020202020204" pitchFamily="34" charset="0"/>
          </a:endParaRPr>
        </a:p>
      </xdr:txBody>
    </xdr:sp>
    <xdr:clientData/>
  </xdr:twoCellAnchor>
  <xdr:twoCellAnchor>
    <xdr:from>
      <xdr:col>4</xdr:col>
      <xdr:colOff>552450</xdr:colOff>
      <xdr:row>6</xdr:row>
      <xdr:rowOff>9525</xdr:rowOff>
    </xdr:from>
    <xdr:to>
      <xdr:col>6</xdr:col>
      <xdr:colOff>390525</xdr:colOff>
      <xdr:row>12</xdr:row>
      <xdr:rowOff>161925</xdr:rowOff>
    </xdr:to>
    <xdr:graphicFrame macro="">
      <xdr:nvGraphicFramePr>
        <xdr:cNvPr id="54" name="Chart 53">
          <a:extLst>
            <a:ext uri="{FF2B5EF4-FFF2-40B4-BE49-F238E27FC236}">
              <a16:creationId xmlns:a16="http://schemas.microsoft.com/office/drawing/2014/main" id="{09A39029-74EF-4556-B3F5-FCC6948EA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506842</xdr:colOff>
      <xdr:row>7</xdr:row>
      <xdr:rowOff>143395</xdr:rowOff>
    </xdr:from>
    <xdr:ext cx="1922033" cy="750793"/>
    <xdr:sp macro="" textlink="Pivot!B25">
      <xdr:nvSpPr>
        <xdr:cNvPr id="66" name="TextBox 65">
          <a:extLst>
            <a:ext uri="{FF2B5EF4-FFF2-40B4-BE49-F238E27FC236}">
              <a16:creationId xmlns:a16="http://schemas.microsoft.com/office/drawing/2014/main" id="{ECEC3157-3212-4FF8-B49F-85C97507ACD0}"/>
            </a:ext>
          </a:extLst>
        </xdr:cNvPr>
        <xdr:cNvSpPr txBox="1"/>
      </xdr:nvSpPr>
      <xdr:spPr>
        <a:xfrm>
          <a:off x="4663206" y="1355668"/>
          <a:ext cx="1922033" cy="750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CC774DA-C82E-4370-B248-8CAF6DEB23B5}" type="TxLink">
            <a:rPr lang="en-US" sz="2400" b="0" i="0" u="none" strike="noStrike">
              <a:solidFill>
                <a:srgbClr val="000000"/>
              </a:solidFill>
              <a:latin typeface="Century Gothic" panose="020B0502020202020204" pitchFamily="34" charset="0"/>
              <a:cs typeface="Arial" panose="020B0604020202020204" pitchFamily="34" charset="0"/>
            </a:rPr>
            <a:pPr algn="ctr"/>
            <a:t>$113,301</a:t>
          </a:fld>
          <a:endParaRPr lang="en-US" sz="4800" b="0">
            <a:solidFill>
              <a:sysClr val="windowText" lastClr="000000"/>
            </a:solidFill>
            <a:latin typeface="Century Gothic" panose="020B0502020202020204" pitchFamily="34" charset="0"/>
            <a:cs typeface="Arial" panose="020B0604020202020204" pitchFamily="34" charset="0"/>
          </a:endParaRPr>
        </a:p>
      </xdr:txBody>
    </xdr:sp>
    <xdr:clientData/>
  </xdr:oneCellAnchor>
  <xdr:oneCellAnchor>
    <xdr:from>
      <xdr:col>5</xdr:col>
      <xdr:colOff>67236</xdr:colOff>
      <xdr:row>7</xdr:row>
      <xdr:rowOff>33617</xdr:rowOff>
    </xdr:from>
    <xdr:ext cx="862853" cy="784412"/>
    <xdr:sp macro="" textlink="Pivot!B9">
      <xdr:nvSpPr>
        <xdr:cNvPr id="67" name="TextBox 66">
          <a:extLst>
            <a:ext uri="{FF2B5EF4-FFF2-40B4-BE49-F238E27FC236}">
              <a16:creationId xmlns:a16="http://schemas.microsoft.com/office/drawing/2014/main" id="{4B5F3A25-01F6-4A15-A338-F1FD0559A015}"/>
            </a:ext>
          </a:extLst>
        </xdr:cNvPr>
        <xdr:cNvSpPr txBox="1"/>
      </xdr:nvSpPr>
      <xdr:spPr>
        <a:xfrm>
          <a:off x="3530872" y="1245890"/>
          <a:ext cx="862853" cy="7844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AD29686-E98B-4D37-A7D3-4998B99C03DF}" type="TxLink">
            <a:rPr lang="en-US" sz="1200" b="0" i="0" u="none" strike="noStrike">
              <a:solidFill>
                <a:srgbClr val="000000"/>
              </a:solidFill>
              <a:latin typeface="Century Gothic" panose="020B0502020202020204" pitchFamily="34" charset="0"/>
              <a:cs typeface="Arial" panose="020B0604020202020204" pitchFamily="34" charset="0"/>
            </a:rPr>
            <a:t>86%</a:t>
          </a:fld>
          <a:endParaRPr lang="en-US" sz="2800" b="0">
            <a:solidFill>
              <a:schemeClr val="tx2">
                <a:lumMod val="90000"/>
                <a:lumOff val="10000"/>
              </a:schemeClr>
            </a:solidFill>
            <a:latin typeface="Century Gothic" panose="020B0502020202020204" pitchFamily="34" charset="0"/>
            <a:cs typeface="Arial" panose="020B0604020202020204" pitchFamily="34" charset="0"/>
          </a:endParaRPr>
        </a:p>
      </xdr:txBody>
    </xdr:sp>
    <xdr:clientData/>
  </xdr:oneCellAnchor>
  <xdr:twoCellAnchor>
    <xdr:from>
      <xdr:col>9</xdr:col>
      <xdr:colOff>247523</xdr:colOff>
      <xdr:row>6</xdr:row>
      <xdr:rowOff>30015</xdr:rowOff>
    </xdr:from>
    <xdr:to>
      <xdr:col>11</xdr:col>
      <xdr:colOff>85598</xdr:colOff>
      <xdr:row>13</xdr:row>
      <xdr:rowOff>1440</xdr:rowOff>
    </xdr:to>
    <xdr:graphicFrame macro="">
      <xdr:nvGraphicFramePr>
        <xdr:cNvPr id="68" name="Chart 67">
          <a:extLst>
            <a:ext uri="{FF2B5EF4-FFF2-40B4-BE49-F238E27FC236}">
              <a16:creationId xmlns:a16="http://schemas.microsoft.com/office/drawing/2014/main" id="{87B5980B-BD8E-4527-8DA9-051CA00AB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1</xdr:row>
      <xdr:rowOff>94970</xdr:rowOff>
    </xdr:from>
    <xdr:to>
      <xdr:col>2</xdr:col>
      <xdr:colOff>57150</xdr:colOff>
      <xdr:row>8</xdr:row>
      <xdr:rowOff>66395</xdr:rowOff>
    </xdr:to>
    <xdr:graphicFrame macro="">
      <xdr:nvGraphicFramePr>
        <xdr:cNvPr id="71" name="Chart 70">
          <a:extLst>
            <a:ext uri="{FF2B5EF4-FFF2-40B4-BE49-F238E27FC236}">
              <a16:creationId xmlns:a16="http://schemas.microsoft.com/office/drawing/2014/main" id="{FB06237C-82F4-4AAE-979A-B8647C1AD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19397</xdr:colOff>
      <xdr:row>6</xdr:row>
      <xdr:rowOff>27212</xdr:rowOff>
    </xdr:from>
    <xdr:to>
      <xdr:col>15</xdr:col>
      <xdr:colOff>550200</xdr:colOff>
      <xdr:row>13</xdr:row>
      <xdr:rowOff>6430</xdr:rowOff>
    </xdr:to>
    <xdr:graphicFrame macro="">
      <xdr:nvGraphicFramePr>
        <xdr:cNvPr id="73" name="Chart 72">
          <a:extLst>
            <a:ext uri="{FF2B5EF4-FFF2-40B4-BE49-F238E27FC236}">
              <a16:creationId xmlns:a16="http://schemas.microsoft.com/office/drawing/2014/main" id="{75B1BB20-AAEB-4C0A-B7CA-CAFE42DD7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137445</xdr:colOff>
      <xdr:row>7</xdr:row>
      <xdr:rowOff>160093</xdr:rowOff>
    </xdr:from>
    <xdr:ext cx="1922033" cy="750793"/>
    <xdr:sp macro="" textlink="Pivot!B24">
      <xdr:nvSpPr>
        <xdr:cNvPr id="80" name="TextBox 79">
          <a:extLst>
            <a:ext uri="{FF2B5EF4-FFF2-40B4-BE49-F238E27FC236}">
              <a16:creationId xmlns:a16="http://schemas.microsoft.com/office/drawing/2014/main" id="{F09EBD63-AAD9-45D2-A230-B5E4DE7B2EAC}"/>
            </a:ext>
          </a:extLst>
        </xdr:cNvPr>
        <xdr:cNvSpPr txBox="1"/>
      </xdr:nvSpPr>
      <xdr:spPr>
        <a:xfrm>
          <a:off x="1522900" y="1372366"/>
          <a:ext cx="1922033" cy="750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8E64D62-A504-4627-B9D6-C06A2CBBB782}" type="TxLink">
            <a:rPr lang="en-US" sz="2400" b="0" i="0" u="none" strike="noStrike">
              <a:solidFill>
                <a:srgbClr val="000000"/>
              </a:solidFill>
              <a:latin typeface="Century Gothic" panose="020B0502020202020204" pitchFamily="34" charset="0"/>
              <a:cs typeface="Arial" panose="020B0604020202020204" pitchFamily="34" charset="0"/>
            </a:rPr>
            <a:t>$157,361</a:t>
          </a:fld>
          <a:endParaRPr lang="en-US" sz="2400" b="0">
            <a:solidFill>
              <a:sysClr val="windowText" lastClr="000000"/>
            </a:solidFill>
            <a:latin typeface="Century Gothic" panose="020B0502020202020204" pitchFamily="34" charset="0"/>
            <a:cs typeface="Arial" panose="020B0604020202020204" pitchFamily="34" charset="0"/>
          </a:endParaRPr>
        </a:p>
      </xdr:txBody>
    </xdr:sp>
    <xdr:clientData/>
  </xdr:oneCellAnchor>
  <xdr:oneCellAnchor>
    <xdr:from>
      <xdr:col>11</xdr:col>
      <xdr:colOff>269929</xdr:colOff>
      <xdr:row>7</xdr:row>
      <xdr:rowOff>163556</xdr:rowOff>
    </xdr:from>
    <xdr:ext cx="1922033" cy="750793"/>
    <xdr:sp macro="" textlink="Pivot!B26">
      <xdr:nvSpPr>
        <xdr:cNvPr id="81" name="TextBox 80">
          <a:extLst>
            <a:ext uri="{FF2B5EF4-FFF2-40B4-BE49-F238E27FC236}">
              <a16:creationId xmlns:a16="http://schemas.microsoft.com/office/drawing/2014/main" id="{E1A94F89-8EDB-46D2-A485-AF9A6BE4FF68}"/>
            </a:ext>
          </a:extLst>
        </xdr:cNvPr>
        <xdr:cNvSpPr txBox="1"/>
      </xdr:nvSpPr>
      <xdr:spPr>
        <a:xfrm>
          <a:off x="7889929" y="1375829"/>
          <a:ext cx="1922033" cy="750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560C95-D9B1-4677-95FB-30D2153D5F99}" type="TxLink">
            <a:rPr lang="en-US" sz="2400" b="0" i="0" u="none" strike="noStrike">
              <a:solidFill>
                <a:srgbClr val="000000"/>
              </a:solidFill>
              <a:latin typeface="Century Gothic" panose="020B0502020202020204" pitchFamily="34" charset="0"/>
              <a:cs typeface="Arial" panose="020B0604020202020204" pitchFamily="34" charset="0"/>
            </a:rPr>
            <a:t>9360</a:t>
          </a:fld>
          <a:endParaRPr lang="en-US" sz="2400" b="0">
            <a:solidFill>
              <a:sysClr val="windowText" lastClr="000000"/>
            </a:solidFill>
            <a:latin typeface="Century Gothic" panose="020B0502020202020204" pitchFamily="34" charset="0"/>
            <a:cs typeface="Arial" panose="020B0604020202020204" pitchFamily="34" charset="0"/>
          </a:endParaRPr>
        </a:p>
      </xdr:txBody>
    </xdr:sp>
    <xdr:clientData/>
  </xdr:oneCellAnchor>
  <xdr:twoCellAnchor>
    <xdr:from>
      <xdr:col>18</xdr:col>
      <xdr:colOff>436184</xdr:colOff>
      <xdr:row>6</xdr:row>
      <xdr:rowOff>29341</xdr:rowOff>
    </xdr:from>
    <xdr:to>
      <xdr:col>20</xdr:col>
      <xdr:colOff>274259</xdr:colOff>
      <xdr:row>13</xdr:row>
      <xdr:rowOff>2447</xdr:rowOff>
    </xdr:to>
    <xdr:graphicFrame macro="">
      <xdr:nvGraphicFramePr>
        <xdr:cNvPr id="82" name="Chart 81">
          <a:extLst>
            <a:ext uri="{FF2B5EF4-FFF2-40B4-BE49-F238E27FC236}">
              <a16:creationId xmlns:a16="http://schemas.microsoft.com/office/drawing/2014/main" id="{DD714C21-1743-4148-B303-BB947E178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23658</xdr:colOff>
      <xdr:row>8</xdr:row>
      <xdr:rowOff>3913</xdr:rowOff>
    </xdr:from>
    <xdr:ext cx="1922033" cy="750793"/>
    <xdr:sp macro="" textlink="Pivot!B27">
      <xdr:nvSpPr>
        <xdr:cNvPr id="84" name="TextBox 83">
          <a:extLst>
            <a:ext uri="{FF2B5EF4-FFF2-40B4-BE49-F238E27FC236}">
              <a16:creationId xmlns:a16="http://schemas.microsoft.com/office/drawing/2014/main" id="{CE43211F-7E81-4B06-8105-82E0949D7143}"/>
            </a:ext>
          </a:extLst>
        </xdr:cNvPr>
        <xdr:cNvSpPr txBox="1"/>
      </xdr:nvSpPr>
      <xdr:spPr>
        <a:xfrm>
          <a:off x="11107294" y="1389368"/>
          <a:ext cx="1922033" cy="750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4A8E6AF-28FC-43D9-957B-137D10CA51A9}" type="TxLink">
            <a:rPr lang="en-US" sz="2400" b="0" i="0" u="none" strike="noStrike">
              <a:solidFill>
                <a:srgbClr val="000000"/>
              </a:solidFill>
              <a:latin typeface="Century Gothic" panose="020B0502020202020204" pitchFamily="34" charset="0"/>
              <a:cs typeface="Arial" panose="020B0604020202020204" pitchFamily="34" charset="0"/>
            </a:rPr>
            <a:t>$166,999</a:t>
          </a:fld>
          <a:endParaRPr lang="en-US" sz="2400" b="0">
            <a:solidFill>
              <a:sysClr val="windowText" lastClr="000000"/>
            </a:solidFill>
            <a:latin typeface="Century Gothic" panose="020B0502020202020204" pitchFamily="34" charset="0"/>
            <a:cs typeface="Arial" panose="020B0604020202020204" pitchFamily="34" charset="0"/>
          </a:endParaRPr>
        </a:p>
      </xdr:txBody>
    </xdr:sp>
    <xdr:clientData/>
  </xdr:oneCellAnchor>
  <xdr:oneCellAnchor>
    <xdr:from>
      <xdr:col>9</xdr:col>
      <xdr:colOff>432160</xdr:colOff>
      <xdr:row>7</xdr:row>
      <xdr:rowOff>49715</xdr:rowOff>
    </xdr:from>
    <xdr:ext cx="862853" cy="784412"/>
    <xdr:sp macro="" textlink="Pivot!B12">
      <xdr:nvSpPr>
        <xdr:cNvPr id="88" name="TextBox 87">
          <a:extLst>
            <a:ext uri="{FF2B5EF4-FFF2-40B4-BE49-F238E27FC236}">
              <a16:creationId xmlns:a16="http://schemas.microsoft.com/office/drawing/2014/main" id="{79A4AD80-BF2B-43F8-AEA7-F27C168DAF86}"/>
            </a:ext>
          </a:extLst>
        </xdr:cNvPr>
        <xdr:cNvSpPr txBox="1"/>
      </xdr:nvSpPr>
      <xdr:spPr>
        <a:xfrm>
          <a:off x="6666705" y="1261988"/>
          <a:ext cx="862853" cy="7844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A8E55C8-3C07-46A7-AAB4-4BEFD16E942C}" type="TxLink">
            <a:rPr lang="en-US" sz="1200" b="0" i="0" u="none" strike="noStrike">
              <a:solidFill>
                <a:srgbClr val="000000"/>
              </a:solidFill>
              <a:latin typeface="Century Gothic" panose="020B0502020202020204" pitchFamily="34" charset="0"/>
              <a:cs typeface="Arial" panose="020B0604020202020204" pitchFamily="34" charset="0"/>
            </a:rPr>
            <a:t>85%</a:t>
          </a:fld>
          <a:endParaRPr lang="en-US" sz="3200" b="0">
            <a:solidFill>
              <a:schemeClr val="tx2">
                <a:lumMod val="90000"/>
                <a:lumOff val="10000"/>
              </a:schemeClr>
            </a:solidFill>
            <a:latin typeface="Century Gothic" panose="020B0502020202020204" pitchFamily="34" charset="0"/>
            <a:cs typeface="Arial" panose="020B0604020202020204" pitchFamily="34" charset="0"/>
          </a:endParaRPr>
        </a:p>
      </xdr:txBody>
    </xdr:sp>
    <xdr:clientData/>
  </xdr:oneCellAnchor>
  <xdr:oneCellAnchor>
    <xdr:from>
      <xdr:col>14</xdr:col>
      <xdr:colOff>219247</xdr:colOff>
      <xdr:row>7</xdr:row>
      <xdr:rowOff>72127</xdr:rowOff>
    </xdr:from>
    <xdr:ext cx="862853" cy="784412"/>
    <xdr:sp macro="" textlink="Pivot!B15">
      <xdr:nvSpPr>
        <xdr:cNvPr id="89" name="TextBox 88">
          <a:extLst>
            <a:ext uri="{FF2B5EF4-FFF2-40B4-BE49-F238E27FC236}">
              <a16:creationId xmlns:a16="http://schemas.microsoft.com/office/drawing/2014/main" id="{1D1E61E3-1DE2-403F-8EC6-BCD1681B64CB}"/>
            </a:ext>
          </a:extLst>
        </xdr:cNvPr>
        <xdr:cNvSpPr txBox="1"/>
      </xdr:nvSpPr>
      <xdr:spPr>
        <a:xfrm>
          <a:off x="9917429" y="1284400"/>
          <a:ext cx="862853" cy="7844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C8000A6-11D3-44FD-B64E-B8AC24243434}" type="TxLink">
            <a:rPr lang="en-US" sz="1200" b="0" i="0" u="none" strike="noStrike">
              <a:solidFill>
                <a:srgbClr val="000000"/>
              </a:solidFill>
              <a:latin typeface="Century Gothic" panose="020B0502020202020204" pitchFamily="34" charset="0"/>
              <a:cs typeface="Arial" panose="020B0604020202020204" pitchFamily="34" charset="0"/>
            </a:rPr>
            <a:t>84%</a:t>
          </a:fld>
          <a:endParaRPr lang="en-US" sz="1200" b="0">
            <a:solidFill>
              <a:schemeClr val="tx2">
                <a:lumMod val="90000"/>
                <a:lumOff val="10000"/>
              </a:schemeClr>
            </a:solidFill>
            <a:latin typeface="Century Gothic" panose="020B0502020202020204" pitchFamily="34" charset="0"/>
            <a:cs typeface="Arial" panose="020B0604020202020204" pitchFamily="34" charset="0"/>
          </a:endParaRPr>
        </a:p>
      </xdr:txBody>
    </xdr:sp>
    <xdr:clientData/>
  </xdr:oneCellAnchor>
  <xdr:oneCellAnchor>
    <xdr:from>
      <xdr:col>18</xdr:col>
      <xdr:colOff>633866</xdr:colOff>
      <xdr:row>7</xdr:row>
      <xdr:rowOff>83333</xdr:rowOff>
    </xdr:from>
    <xdr:ext cx="862853" cy="784412"/>
    <xdr:sp macro="" textlink="Pivot!B18">
      <xdr:nvSpPr>
        <xdr:cNvPr id="90" name="TextBox 89">
          <a:extLst>
            <a:ext uri="{FF2B5EF4-FFF2-40B4-BE49-F238E27FC236}">
              <a16:creationId xmlns:a16="http://schemas.microsoft.com/office/drawing/2014/main" id="{8319EC2F-F752-406F-8FCC-69DF1BE3CD40}"/>
            </a:ext>
          </a:extLst>
        </xdr:cNvPr>
        <xdr:cNvSpPr txBox="1"/>
      </xdr:nvSpPr>
      <xdr:spPr>
        <a:xfrm>
          <a:off x="13102957" y="1295606"/>
          <a:ext cx="862853" cy="78441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76F8F71-D5CA-488D-8BFA-92A6E37278EC}" type="TxLink">
            <a:rPr lang="en-US" sz="1200" b="0" i="0" u="none" strike="noStrike">
              <a:solidFill>
                <a:srgbClr val="000000"/>
              </a:solidFill>
              <a:latin typeface="Century Gothic" panose="020B0502020202020204" pitchFamily="34" charset="0"/>
              <a:cs typeface="Arial" panose="020B0604020202020204" pitchFamily="34" charset="0"/>
            </a:rPr>
            <a:t>94%</a:t>
          </a:fld>
          <a:endParaRPr lang="en-US" sz="1200" b="0">
            <a:solidFill>
              <a:schemeClr val="tx2">
                <a:lumMod val="90000"/>
                <a:lumOff val="10000"/>
              </a:schemeClr>
            </a:solidFill>
            <a:latin typeface="Century Gothic" panose="020B0502020202020204" pitchFamily="34" charset="0"/>
            <a:cs typeface="Arial" panose="020B0604020202020204" pitchFamily="34" charset="0"/>
          </a:endParaRPr>
        </a:p>
      </xdr:txBody>
    </xdr:sp>
    <xdr:clientData/>
  </xdr:oneCellAnchor>
  <xdr:twoCellAnchor>
    <xdr:from>
      <xdr:col>8</xdr:col>
      <xdr:colOff>555985</xdr:colOff>
      <xdr:row>13</xdr:row>
      <xdr:rowOff>74127</xdr:rowOff>
    </xdr:from>
    <xdr:to>
      <xdr:col>15</xdr:col>
      <xdr:colOff>291765</xdr:colOff>
      <xdr:row>26</xdr:row>
      <xdr:rowOff>127856</xdr:rowOff>
    </xdr:to>
    <xdr:sp macro="" textlink="">
      <xdr:nvSpPr>
        <xdr:cNvPr id="93" name="Rectangle 92">
          <a:extLst>
            <a:ext uri="{FF2B5EF4-FFF2-40B4-BE49-F238E27FC236}">
              <a16:creationId xmlns:a16="http://schemas.microsoft.com/office/drawing/2014/main" id="{7974C5E6-C605-4AC7-AC0C-E5BED1B0C190}"/>
            </a:ext>
          </a:extLst>
        </xdr:cNvPr>
        <xdr:cNvSpPr/>
      </xdr:nvSpPr>
      <xdr:spPr>
        <a:xfrm>
          <a:off x="6024456" y="2404951"/>
          <a:ext cx="4520691" cy="2384552"/>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8</xdr:col>
      <xdr:colOff>551503</xdr:colOff>
      <xdr:row>27</xdr:row>
      <xdr:rowOff>33618</xdr:rowOff>
    </xdr:from>
    <xdr:to>
      <xdr:col>15</xdr:col>
      <xdr:colOff>272162</xdr:colOff>
      <xdr:row>39</xdr:row>
      <xdr:rowOff>75537</xdr:rowOff>
    </xdr:to>
    <xdr:sp macro="" textlink="">
      <xdr:nvSpPr>
        <xdr:cNvPr id="94" name="Rectangle 93">
          <a:extLst>
            <a:ext uri="{FF2B5EF4-FFF2-40B4-BE49-F238E27FC236}">
              <a16:creationId xmlns:a16="http://schemas.microsoft.com/office/drawing/2014/main" id="{F54B8D31-FF85-44B7-87FF-E88478042E0C}"/>
            </a:ext>
          </a:extLst>
        </xdr:cNvPr>
        <xdr:cNvSpPr/>
      </xdr:nvSpPr>
      <xdr:spPr>
        <a:xfrm>
          <a:off x="6019974" y="4874559"/>
          <a:ext cx="4505570" cy="2193449"/>
        </a:xfrm>
        <a:prstGeom prst="rect">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entury Gothic" panose="020B0502020202020204" pitchFamily="34" charset="0"/>
          </a:endParaRPr>
        </a:p>
      </xdr:txBody>
    </xdr:sp>
    <xdr:clientData/>
  </xdr:twoCellAnchor>
  <xdr:twoCellAnchor>
    <xdr:from>
      <xdr:col>2</xdr:col>
      <xdr:colOff>112921</xdr:colOff>
      <xdr:row>13</xdr:row>
      <xdr:rowOff>162337</xdr:rowOff>
    </xdr:from>
    <xdr:to>
      <xdr:col>8</xdr:col>
      <xdr:colOff>449960</xdr:colOff>
      <xdr:row>26</xdr:row>
      <xdr:rowOff>81207</xdr:rowOff>
    </xdr:to>
    <xdr:graphicFrame macro="">
      <xdr:nvGraphicFramePr>
        <xdr:cNvPr id="95" name="Chart 94">
          <a:extLst>
            <a:ext uri="{FF2B5EF4-FFF2-40B4-BE49-F238E27FC236}">
              <a16:creationId xmlns:a16="http://schemas.microsoft.com/office/drawing/2014/main" id="{44284140-F77E-485D-8877-ADFA038A3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589116</xdr:colOff>
      <xdr:row>13</xdr:row>
      <xdr:rowOff>134470</xdr:rowOff>
    </xdr:from>
    <xdr:to>
      <xdr:col>15</xdr:col>
      <xdr:colOff>256274</xdr:colOff>
      <xdr:row>26</xdr:row>
      <xdr:rowOff>100853</xdr:rowOff>
    </xdr:to>
    <xdr:graphicFrame macro="">
      <xdr:nvGraphicFramePr>
        <xdr:cNvPr id="97" name="Chart 96">
          <a:extLst>
            <a:ext uri="{FF2B5EF4-FFF2-40B4-BE49-F238E27FC236}">
              <a16:creationId xmlns:a16="http://schemas.microsoft.com/office/drawing/2014/main" id="{8DB813DD-5BBE-4F89-93AA-5920F4E2C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159246</xdr:colOff>
      <xdr:row>27</xdr:row>
      <xdr:rowOff>93189</xdr:rowOff>
    </xdr:from>
    <xdr:to>
      <xdr:col>8</xdr:col>
      <xdr:colOff>376691</xdr:colOff>
      <xdr:row>39</xdr:row>
      <xdr:rowOff>6035</xdr:rowOff>
    </xdr:to>
    <mc:AlternateContent xmlns:mc="http://schemas.openxmlformats.org/markup-compatibility/2006">
      <mc:Choice xmlns:cx2="http://schemas.microsoft.com/office/drawing/2015/10/21/chartex" Requires="cx2">
        <xdr:graphicFrame macro="">
          <xdr:nvGraphicFramePr>
            <xdr:cNvPr id="98" name="Chart 97">
              <a:extLst>
                <a:ext uri="{FF2B5EF4-FFF2-40B4-BE49-F238E27FC236}">
                  <a16:creationId xmlns:a16="http://schemas.microsoft.com/office/drawing/2014/main" id="{E2E8BCEF-14DF-4E9E-AC01-052A7E76D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526364" y="4934130"/>
              <a:ext cx="4318798" cy="20643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618480</xdr:colOff>
      <xdr:row>27</xdr:row>
      <xdr:rowOff>80016</xdr:rowOff>
    </xdr:from>
    <xdr:to>
      <xdr:col>15</xdr:col>
      <xdr:colOff>244806</xdr:colOff>
      <xdr:row>39</xdr:row>
      <xdr:rowOff>20687</xdr:rowOff>
    </xdr:to>
    <xdr:graphicFrame macro="">
      <xdr:nvGraphicFramePr>
        <xdr:cNvPr id="101" name="Chart 100">
          <a:extLst>
            <a:ext uri="{FF2B5EF4-FFF2-40B4-BE49-F238E27FC236}">
              <a16:creationId xmlns:a16="http://schemas.microsoft.com/office/drawing/2014/main" id="{AA2FE840-6986-4B1F-8CBB-88B0C3A8F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435219</xdr:colOff>
      <xdr:row>13</xdr:row>
      <xdr:rowOff>107675</xdr:rowOff>
    </xdr:from>
    <xdr:to>
      <xdr:col>20</xdr:col>
      <xdr:colOff>266700</xdr:colOff>
      <xdr:row>39</xdr:row>
      <xdr:rowOff>44823</xdr:rowOff>
    </xdr:to>
    <mc:AlternateContent xmlns:mc="http://schemas.openxmlformats.org/markup-compatibility/2006">
      <mc:Choice xmlns:cx4="http://schemas.microsoft.com/office/drawing/2016/5/10/chartex" Requires="cx4">
        <xdr:graphicFrame macro="">
          <xdr:nvGraphicFramePr>
            <xdr:cNvPr id="102" name="Chart 101">
              <a:extLst>
                <a:ext uri="{FF2B5EF4-FFF2-40B4-BE49-F238E27FC236}">
                  <a16:creationId xmlns:a16="http://schemas.microsoft.com/office/drawing/2014/main" id="{95F09F9E-DB69-405B-8452-7D1CBC000A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47067" y="2476501"/>
              <a:ext cx="3268763" cy="4674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209690</xdr:colOff>
      <xdr:row>17</xdr:row>
      <xdr:rowOff>50705</xdr:rowOff>
    </xdr:from>
    <xdr:to>
      <xdr:col>1</xdr:col>
      <xdr:colOff>650486</xdr:colOff>
      <xdr:row>39</xdr:row>
      <xdr:rowOff>65942</xdr:rowOff>
    </xdr:to>
    <mc:AlternateContent xmlns:mc="http://schemas.openxmlformats.org/markup-compatibility/2006">
      <mc:Choice xmlns:a14="http://schemas.microsoft.com/office/drawing/2010/main" Requires="a14">
        <xdr:graphicFrame macro="">
          <xdr:nvGraphicFramePr>
            <xdr:cNvPr id="103" name="Month">
              <a:extLst>
                <a:ext uri="{FF2B5EF4-FFF2-40B4-BE49-F238E27FC236}">
                  <a16:creationId xmlns:a16="http://schemas.microsoft.com/office/drawing/2014/main" id="{46758564-5F68-4A74-B4B8-ED2AD52FF3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9690" y="3098705"/>
              <a:ext cx="1124355" cy="3959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213733</xdr:colOff>
      <xdr:row>1</xdr:row>
      <xdr:rowOff>134472</xdr:rowOff>
    </xdr:from>
    <xdr:to>
      <xdr:col>1</xdr:col>
      <xdr:colOff>641196</xdr:colOff>
      <xdr:row>16</xdr:row>
      <xdr:rowOff>125452</xdr:rowOff>
    </xdr:to>
    <mc:AlternateContent xmlns:mc="http://schemas.openxmlformats.org/markup-compatibility/2006">
      <mc:Choice xmlns:a14="http://schemas.microsoft.com/office/drawing/2010/main" Requires="a14">
        <xdr:graphicFrame macro="">
          <xdr:nvGraphicFramePr>
            <xdr:cNvPr id="104" name="Quarter">
              <a:extLst>
                <a:ext uri="{FF2B5EF4-FFF2-40B4-BE49-F238E27FC236}">
                  <a16:creationId xmlns:a16="http://schemas.microsoft.com/office/drawing/2014/main" id="{A51C3E10-F234-4825-9593-CD3B1D242B7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13733" y="313766"/>
              <a:ext cx="1111022" cy="2680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34.639208912035" createdVersion="7" refreshedVersion="7" minRefreshableVersion="3" recordCount="63" xr:uid="{A2A250C3-3054-463C-8738-896F10A0C99C}">
  <cacheSource type="worksheet">
    <worksheetSource name="Table2"/>
  </cacheSource>
  <cacheFields count="14">
    <cacheField name="Date" numFmtId="14">
      <sharedItems containsSemiMixedTypes="0" containsNonDate="0" containsDate="1" containsString="0" minDate="2023-01-02T00:00:00" maxDate="2023-12-16T00:00:00"/>
    </cacheField>
    <cacheField name="Region" numFmtId="0">
      <sharedItems count="4">
        <s v="East"/>
        <s v="West"/>
        <s v="South"/>
        <s v="North"/>
      </sharedItems>
    </cacheField>
    <cacheField name="Sales" numFmtId="0">
      <sharedItems containsSemiMixedTypes="0" containsString="0" containsNumber="1" containsInteger="1" minValue="1000" maxValue="6500"/>
    </cacheField>
    <cacheField name="Profit" numFmtId="0">
      <sharedItems containsSemiMixedTypes="0" containsString="0" containsNumber="1" minValue="385.71428571428601" maxValue="5214.2857142857101"/>
    </cacheField>
    <cacheField name="Target Sales" numFmtId="0">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 name="Month" numFmtId="0">
      <sharedItems count="12">
        <s v="May"/>
        <s v="Feb"/>
        <s v="Oct"/>
        <s v="Nov"/>
        <s v="Mar"/>
        <s v="Apr"/>
        <s v="Aug"/>
        <s v="Jun"/>
        <s v="Jul"/>
        <s v="Sep"/>
        <s v="Dec"/>
        <s v="Jan"/>
      </sharedItems>
    </cacheField>
    <cacheField name="Quarter" numFmtId="0">
      <sharedItems count="4">
        <s v="Q2"/>
        <s v="Q1"/>
        <s v="Q4"/>
        <s v="Q3"/>
      </sharedItems>
    </cacheField>
  </cacheFields>
  <extLst>
    <ext xmlns:x14="http://schemas.microsoft.com/office/spreadsheetml/2009/9/main" uri="{725AE2AE-9491-48be-B2B4-4EB974FC3084}">
      <x14:pivotCacheDefinition pivotCacheId="1675466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3-05-14T00:00:00"/>
    <x v="0"/>
    <n v="2581"/>
    <n v="2957.1428571428601"/>
    <n v="5857"/>
    <n v="80"/>
    <n v="0.89"/>
    <n v="0.85"/>
    <n v="0.72"/>
    <x v="0"/>
    <x v="0"/>
    <n v="8"/>
    <x v="0"/>
    <x v="0"/>
  </r>
  <r>
    <d v="2023-02-26T00:00:00"/>
    <x v="1"/>
    <n v="3944"/>
    <n v="2957.1428571428601"/>
    <n v="5857"/>
    <n v="30"/>
    <n v="0.94"/>
    <n v="0.95"/>
    <n v="0.86"/>
    <x v="1"/>
    <x v="1"/>
    <n v="4"/>
    <x v="1"/>
    <x v="1"/>
  </r>
  <r>
    <d v="2023-02-27T00:00:00"/>
    <x v="2"/>
    <n v="3293"/>
    <n v="2957.1428571428601"/>
    <n v="5857"/>
    <n v="15"/>
    <n v="0.82"/>
    <n v="0.8"/>
    <n v="0.76"/>
    <x v="2"/>
    <x v="2"/>
    <n v="3"/>
    <x v="1"/>
    <x v="1"/>
  </r>
  <r>
    <d v="2023-02-28T00:00:00"/>
    <x v="2"/>
    <n v="2019"/>
    <n v="2957.1428571428601"/>
    <n v="5857"/>
    <n v="40"/>
    <n v="0.79"/>
    <n v="0.79"/>
    <n v="0.79"/>
    <x v="3"/>
    <x v="0"/>
    <n v="2"/>
    <x v="1"/>
    <x v="1"/>
  </r>
  <r>
    <d v="2023-10-29T00:00:00"/>
    <x v="1"/>
    <n v="2980"/>
    <n v="2958"/>
    <n v="5857"/>
    <n v="100"/>
    <n v="0.96"/>
    <n v="0.79"/>
    <n v="0.7"/>
    <x v="4"/>
    <x v="3"/>
    <n v="7"/>
    <x v="2"/>
    <x v="2"/>
  </r>
  <r>
    <d v="2023-10-30T00:00:00"/>
    <x v="1"/>
    <n v="2209"/>
    <n v="2957.1428571428601"/>
    <n v="5857"/>
    <n v="15"/>
    <n v="0.79"/>
    <n v="0.79"/>
    <n v="0.77"/>
    <x v="4"/>
    <x v="0"/>
    <n v="9"/>
    <x v="2"/>
    <x v="2"/>
  </r>
  <r>
    <d v="2023-10-31T00:00:00"/>
    <x v="3"/>
    <n v="2440"/>
    <n v="2957.1428571428601"/>
    <n v="5857"/>
    <n v="20"/>
    <n v="0.75"/>
    <n v="0.72"/>
    <n v="0.93"/>
    <x v="4"/>
    <x v="1"/>
    <n v="5"/>
    <x v="2"/>
    <x v="2"/>
  </r>
  <r>
    <d v="2023-11-01T00:00:00"/>
    <x v="3"/>
    <n v="2000"/>
    <n v="1328.57142857143"/>
    <n v="4428.5714285714303"/>
    <n v="90"/>
    <n v="0.92"/>
    <n v="0.99"/>
    <n v="0.74"/>
    <x v="2"/>
    <x v="1"/>
    <n v="6"/>
    <x v="3"/>
    <x v="2"/>
  </r>
  <r>
    <d v="2023-11-02T00:00:00"/>
    <x v="3"/>
    <n v="1431"/>
    <n v="1328.57142857143"/>
    <n v="4428.5714285714303"/>
    <n v="30"/>
    <n v="0.7"/>
    <n v="0.99"/>
    <n v="0.95"/>
    <x v="2"/>
    <x v="3"/>
    <n v="8"/>
    <x v="3"/>
    <x v="2"/>
  </r>
  <r>
    <d v="2023-11-03T00:00:00"/>
    <x v="1"/>
    <n v="3000"/>
    <n v="1328.57142857143"/>
    <n v="4428.5714285714303"/>
    <n v="15"/>
    <n v="0.91"/>
    <n v="0.98"/>
    <n v="0.89"/>
    <x v="2"/>
    <x v="3"/>
    <n v="4"/>
    <x v="3"/>
    <x v="2"/>
  </r>
  <r>
    <d v="2023-05-14T00:00:00"/>
    <x v="1"/>
    <n v="4000"/>
    <n v="1328.57142857143"/>
    <n v="4428.5714285714303"/>
    <n v="40"/>
    <n v="0.74"/>
    <n v="0.85"/>
    <n v="0.7"/>
    <x v="2"/>
    <x v="0"/>
    <n v="3"/>
    <x v="0"/>
    <x v="0"/>
  </r>
  <r>
    <d v="2023-10-26T00:00:00"/>
    <x v="0"/>
    <n v="1000"/>
    <n v="1328.57142857143"/>
    <n v="4428.5714285714303"/>
    <n v="100"/>
    <n v="0.9"/>
    <n v="0.9"/>
    <n v="0.72"/>
    <x v="2"/>
    <x v="1"/>
    <n v="2"/>
    <x v="2"/>
    <x v="2"/>
  </r>
  <r>
    <d v="2023-03-10T00:00:00"/>
    <x v="0"/>
    <n v="2000"/>
    <n v="1328.57142857143"/>
    <n v="4428.5714285714303"/>
    <n v="15"/>
    <n v="0.95"/>
    <n v="0.97"/>
    <n v="0.81"/>
    <x v="2"/>
    <x v="2"/>
    <n v="7"/>
    <x v="4"/>
    <x v="1"/>
  </r>
  <r>
    <d v="2023-04-28T00:00:00"/>
    <x v="2"/>
    <n v="2000"/>
    <n v="1328.57142857143"/>
    <n v="4428.5714285714303"/>
    <n v="20"/>
    <n v="0.99"/>
    <n v="0.79"/>
    <n v="0.75"/>
    <x v="2"/>
    <x v="3"/>
    <n v="9"/>
    <x v="5"/>
    <x v="0"/>
  </r>
  <r>
    <d v="2023-10-19T00:00:00"/>
    <x v="2"/>
    <n v="4000"/>
    <n v="1328.57142857143"/>
    <n v="1428.57142857143"/>
    <n v="45"/>
    <n v="0.86"/>
    <n v="0.97"/>
    <n v="0.89"/>
    <x v="0"/>
    <x v="4"/>
    <n v="5"/>
    <x v="2"/>
    <x v="2"/>
  </r>
  <r>
    <d v="2023-08-22T00:00:00"/>
    <x v="0"/>
    <n v="6000"/>
    <n v="1328.57142857143"/>
    <n v="1428.57142857143"/>
    <n v="43"/>
    <n v="0.83"/>
    <n v="0.72"/>
    <n v="0.74"/>
    <x v="1"/>
    <x v="0"/>
    <n v="6"/>
    <x v="6"/>
    <x v="3"/>
  </r>
  <r>
    <d v="2023-08-09T00:00:00"/>
    <x v="1"/>
    <n v="6500"/>
    <n v="1328.57142857143"/>
    <n v="1428.57142857143"/>
    <n v="43"/>
    <n v="0.74"/>
    <n v="0.78"/>
    <n v="0.94"/>
    <x v="2"/>
    <x v="1"/>
    <n v="8"/>
    <x v="6"/>
    <x v="3"/>
  </r>
  <r>
    <d v="2023-06-01T00:00:00"/>
    <x v="3"/>
    <n v="1200"/>
    <n v="1328.57142857143"/>
    <n v="1428.57142857143"/>
    <n v="43"/>
    <n v="0.8"/>
    <n v="0.84"/>
    <n v="0.81"/>
    <x v="3"/>
    <x v="1"/>
    <n v="4"/>
    <x v="7"/>
    <x v="0"/>
  </r>
  <r>
    <d v="2023-03-01T00:00:00"/>
    <x v="3"/>
    <n v="3000"/>
    <n v="1328.57142857143"/>
    <n v="1428.5714285714287"/>
    <n v="43"/>
    <n v="0.89"/>
    <n v="0.99"/>
    <n v="0.97"/>
    <x v="0"/>
    <x v="0"/>
    <n v="3"/>
    <x v="4"/>
    <x v="1"/>
  </r>
  <r>
    <d v="2023-11-27T00:00:00"/>
    <x v="3"/>
    <n v="2000"/>
    <n v="1328.57142857143"/>
    <n v="1428.5714285714287"/>
    <n v="40"/>
    <n v="0.71"/>
    <n v="0.87"/>
    <n v="0.94"/>
    <x v="1"/>
    <x v="4"/>
    <n v="2"/>
    <x v="3"/>
    <x v="2"/>
  </r>
  <r>
    <d v="2023-10-14T00:00:00"/>
    <x v="3"/>
    <n v="2000"/>
    <n v="1328.57142857143"/>
    <n v="1428.5714285714287"/>
    <n v="43"/>
    <n v="0.9"/>
    <n v="0.72"/>
    <n v="0.94"/>
    <x v="2"/>
    <x v="0"/>
    <n v="7"/>
    <x v="2"/>
    <x v="2"/>
  </r>
  <r>
    <d v="2023-06-21T00:00:00"/>
    <x v="0"/>
    <n v="3000"/>
    <n v="5214.2857142857101"/>
    <n v="6714.2857142857101"/>
    <n v="100"/>
    <n v="0.89"/>
    <n v="0.85"/>
    <n v="0.87"/>
    <x v="3"/>
    <x v="1"/>
    <n v="9"/>
    <x v="7"/>
    <x v="0"/>
  </r>
  <r>
    <d v="2023-07-23T00:00:00"/>
    <x v="2"/>
    <n v="4500"/>
    <n v="5214.2857142857101"/>
    <n v="6714.2857142857101"/>
    <n v="100"/>
    <n v="0.89"/>
    <n v="0.8"/>
    <n v="0.88"/>
    <x v="0"/>
    <x v="2"/>
    <n v="5"/>
    <x v="8"/>
    <x v="3"/>
  </r>
  <r>
    <d v="2023-07-20T00:00:00"/>
    <x v="0"/>
    <n v="5500"/>
    <n v="1214.2857142857099"/>
    <n v="6714.2857142857101"/>
    <n v="100"/>
    <n v="0.98"/>
    <n v="0.99"/>
    <n v="0.81"/>
    <x v="2"/>
    <x v="0"/>
    <n v="6"/>
    <x v="8"/>
    <x v="3"/>
  </r>
  <r>
    <d v="2023-07-22T00:00:00"/>
    <x v="1"/>
    <n v="1000"/>
    <n v="5214.2857142857101"/>
    <n v="6714.2857142857101"/>
    <n v="100"/>
    <n v="0.81"/>
    <n v="0.91"/>
    <n v="0.95"/>
    <x v="3"/>
    <x v="4"/>
    <n v="8"/>
    <x v="8"/>
    <x v="3"/>
  </r>
  <r>
    <d v="2023-04-02T00:00:00"/>
    <x v="0"/>
    <n v="2000"/>
    <n v="5214.2857142857101"/>
    <n v="6714.2857142857101"/>
    <n v="100"/>
    <n v="0.97"/>
    <n v="0.85"/>
    <n v="0.85"/>
    <x v="0"/>
    <x v="0"/>
    <n v="4"/>
    <x v="5"/>
    <x v="0"/>
  </r>
  <r>
    <d v="2023-02-22T00:00:00"/>
    <x v="0"/>
    <n v="2000"/>
    <n v="5214.2857142857101"/>
    <n v="6714.2857142857101"/>
    <n v="100"/>
    <n v="0.89"/>
    <n v="0.94"/>
    <n v="0.8"/>
    <x v="1"/>
    <x v="0"/>
    <n v="3"/>
    <x v="1"/>
    <x v="1"/>
  </r>
  <r>
    <d v="2023-09-10T00:00:00"/>
    <x v="0"/>
    <n v="2000"/>
    <n v="5214.2857142857101"/>
    <n v="6714.2857142857101"/>
    <n v="100"/>
    <n v="0.88"/>
    <n v="0.94"/>
    <n v="0.7"/>
    <x v="2"/>
    <x v="2"/>
    <n v="2"/>
    <x v="9"/>
    <x v="3"/>
  </r>
  <r>
    <d v="2023-12-15T00:00:00"/>
    <x v="0"/>
    <n v="2000"/>
    <n v="2957.1428571428601"/>
    <n v="2857.1428571428573"/>
    <n v="90"/>
    <n v="0.75"/>
    <n v="0.77"/>
    <n v="0.84"/>
    <x v="3"/>
    <x v="3"/>
    <n v="7"/>
    <x v="10"/>
    <x v="2"/>
  </r>
  <r>
    <d v="2023-03-12T00:00:00"/>
    <x v="0"/>
    <n v="1700"/>
    <n v="2957.1428571428601"/>
    <n v="2857.1428571428573"/>
    <n v="80"/>
    <n v="0.73"/>
    <n v="0.96"/>
    <n v="0.93"/>
    <x v="3"/>
    <x v="4"/>
    <n v="4"/>
    <x v="4"/>
    <x v="1"/>
  </r>
  <r>
    <d v="2023-09-10T00:00:00"/>
    <x v="0"/>
    <n v="1600"/>
    <n v="2957.1428571428601"/>
    <n v="2857.1428571428573"/>
    <n v="90"/>
    <n v="0.93"/>
    <n v="0.74"/>
    <n v="0.93"/>
    <x v="2"/>
    <x v="0"/>
    <n v="5"/>
    <x v="9"/>
    <x v="3"/>
  </r>
  <r>
    <d v="2023-01-02T00:00:00"/>
    <x v="1"/>
    <n v="1200"/>
    <n v="2957.1428571428601"/>
    <n v="2857.1428571428573"/>
    <n v="110"/>
    <n v="0.85"/>
    <n v="0.7"/>
    <n v="0.99"/>
    <x v="3"/>
    <x v="1"/>
    <n v="6"/>
    <x v="11"/>
    <x v="1"/>
  </r>
  <r>
    <d v="2023-10-28T00:00:00"/>
    <x v="2"/>
    <n v="2500"/>
    <n v="2957.1428571428601"/>
    <n v="2857.1428571428573"/>
    <n v="90"/>
    <n v="0.92"/>
    <n v="0.99"/>
    <n v="0.88"/>
    <x v="0"/>
    <x v="2"/>
    <n v="8"/>
    <x v="2"/>
    <x v="2"/>
  </r>
  <r>
    <d v="2023-06-26T00:00:00"/>
    <x v="2"/>
    <n v="2100"/>
    <n v="2957.1428571428601"/>
    <n v="2857.1428571428573"/>
    <n v="100"/>
    <n v="0.75"/>
    <n v="0.97"/>
    <n v="0.83"/>
    <x v="1"/>
    <x v="3"/>
    <n v="4"/>
    <x v="7"/>
    <x v="0"/>
  </r>
  <r>
    <d v="2023-11-13T00:00:00"/>
    <x v="2"/>
    <n v="2150"/>
    <n v="2957.1428571428601"/>
    <n v="2857.1428571428573"/>
    <n v="90"/>
    <n v="0.77"/>
    <n v="0.97"/>
    <n v="0.78"/>
    <x v="0"/>
    <x v="4"/>
    <n v="3"/>
    <x v="3"/>
    <x v="2"/>
  </r>
  <r>
    <d v="2023-06-30T00:00:00"/>
    <x v="2"/>
    <n v="2200"/>
    <n v="757.142857142857"/>
    <n v="857.14285714285711"/>
    <n v="228"/>
    <n v="0.79"/>
    <n v="0.75"/>
    <n v="0.93"/>
    <x v="1"/>
    <x v="0"/>
    <n v="2"/>
    <x v="7"/>
    <x v="0"/>
  </r>
  <r>
    <d v="2023-04-14T00:00:00"/>
    <x v="1"/>
    <n v="1800"/>
    <n v="757.142857142857"/>
    <n v="857.14285714285711"/>
    <n v="220"/>
    <n v="0.81"/>
    <n v="0.98"/>
    <n v="0.86"/>
    <x v="2"/>
    <x v="1"/>
    <n v="7"/>
    <x v="5"/>
    <x v="0"/>
  </r>
  <r>
    <d v="2023-12-06T00:00:00"/>
    <x v="3"/>
    <n v="1800"/>
    <n v="757.142857142857"/>
    <n v="857.14285714285711"/>
    <n v="228"/>
    <n v="0.86"/>
    <n v="0.82"/>
    <n v="0.86"/>
    <x v="3"/>
    <x v="2"/>
    <n v="9"/>
    <x v="10"/>
    <x v="2"/>
  </r>
  <r>
    <d v="2023-05-08T00:00:00"/>
    <x v="0"/>
    <n v="1414"/>
    <n v="757.142857142857"/>
    <n v="857.14285714285711"/>
    <n v="238"/>
    <n v="0.72"/>
    <n v="0.95"/>
    <n v="0.9"/>
    <x v="4"/>
    <x v="3"/>
    <n v="5"/>
    <x v="0"/>
    <x v="0"/>
  </r>
  <r>
    <d v="2023-04-03T00:00:00"/>
    <x v="2"/>
    <n v="2100"/>
    <n v="757.142857142857"/>
    <n v="857.14285714285711"/>
    <n v="228"/>
    <n v="0.71"/>
    <n v="0.8"/>
    <n v="0.76"/>
    <x v="4"/>
    <x v="4"/>
    <n v="5"/>
    <x v="5"/>
    <x v="0"/>
  </r>
  <r>
    <d v="2023-06-01T00:00:00"/>
    <x v="2"/>
    <n v="2500"/>
    <n v="757.142857142857"/>
    <n v="857.14285714285711"/>
    <n v="230"/>
    <n v="0.97"/>
    <n v="0.95"/>
    <n v="0.85"/>
    <x v="4"/>
    <x v="0"/>
    <n v="8"/>
    <x v="7"/>
    <x v="0"/>
  </r>
  <r>
    <d v="2023-11-03T00:00:00"/>
    <x v="3"/>
    <n v="2200"/>
    <n v="757.142857142857"/>
    <n v="857.14285714285711"/>
    <n v="228"/>
    <n v="0.95"/>
    <n v="0.85"/>
    <n v="0.91"/>
    <x v="2"/>
    <x v="1"/>
    <n v="4"/>
    <x v="3"/>
    <x v="2"/>
  </r>
  <r>
    <d v="2023-05-14T00:00:00"/>
    <x v="0"/>
    <n v="2500"/>
    <n v="914.28571428571399"/>
    <n v="714.28571428571433"/>
    <n v="250"/>
    <n v="0.97"/>
    <n v="0.7"/>
    <n v="0.93"/>
    <x v="2"/>
    <x v="2"/>
    <n v="3"/>
    <x v="0"/>
    <x v="0"/>
  </r>
  <r>
    <d v="2023-10-26T00:00:00"/>
    <x v="2"/>
    <n v="2200"/>
    <n v="914.28571428571399"/>
    <n v="714.28571428571433"/>
    <n v="240"/>
    <n v="0.9"/>
    <n v="0.98"/>
    <n v="0.96"/>
    <x v="2"/>
    <x v="3"/>
    <n v="2"/>
    <x v="2"/>
    <x v="2"/>
  </r>
  <r>
    <d v="2023-10-27T00:00:00"/>
    <x v="0"/>
    <n v="2500"/>
    <n v="914.28571428571399"/>
    <n v="714.28571428571433"/>
    <n v="270"/>
    <n v="0.9"/>
    <n v="0.95"/>
    <n v="0.98"/>
    <x v="2"/>
    <x v="4"/>
    <n v="3"/>
    <x v="2"/>
    <x v="2"/>
  </r>
  <r>
    <d v="2023-01-28T00:00:00"/>
    <x v="1"/>
    <n v="2000"/>
    <n v="914.28571428571399"/>
    <n v="714.28571428571433"/>
    <n v="259"/>
    <n v="0.96"/>
    <n v="0.81"/>
    <n v="0.85"/>
    <x v="2"/>
    <x v="0"/>
    <n v="9"/>
    <x v="11"/>
    <x v="1"/>
  </r>
  <r>
    <d v="2023-01-29T00:00:00"/>
    <x v="1"/>
    <n v="2500"/>
    <n v="914.28571428571399"/>
    <n v="714.28571428571433"/>
    <n v="260"/>
    <n v="0.98"/>
    <n v="0.84"/>
    <n v="0.89"/>
    <x v="2"/>
    <x v="0"/>
    <n v="5"/>
    <x v="11"/>
    <x v="1"/>
  </r>
  <r>
    <d v="2023-01-30T00:00:00"/>
    <x v="1"/>
    <n v="2500"/>
    <n v="914.28571428571399"/>
    <n v="714.28571428571433"/>
    <n v="260"/>
    <n v="0.76"/>
    <n v="0.7"/>
    <n v="0.86"/>
    <x v="2"/>
    <x v="2"/>
    <n v="6"/>
    <x v="11"/>
    <x v="1"/>
  </r>
  <r>
    <d v="2023-01-31T00:00:00"/>
    <x v="0"/>
    <n v="2500"/>
    <n v="914.28571428571399"/>
    <n v="714.28571428571433"/>
    <n v="261"/>
    <n v="0.91"/>
    <n v="0.77"/>
    <n v="0.75"/>
    <x v="0"/>
    <x v="3"/>
    <n v="8"/>
    <x v="11"/>
    <x v="1"/>
  </r>
  <r>
    <d v="2023-11-01T00:00:00"/>
    <x v="0"/>
    <n v="2500"/>
    <n v="914.28571428571399"/>
    <n v="714.28571428571433"/>
    <n v="242"/>
    <n v="0.79"/>
    <n v="0.81"/>
    <n v="0.74"/>
    <x v="1"/>
    <x v="4"/>
    <n v="4"/>
    <x v="3"/>
    <x v="2"/>
  </r>
  <r>
    <d v="2023-11-02T00:00:00"/>
    <x v="0"/>
    <n v="2250"/>
    <n v="914.28571428571399"/>
    <n v="714.28571428571433"/>
    <n v="250"/>
    <n v="0.85"/>
    <n v="0.82"/>
    <n v="0.73"/>
    <x v="2"/>
    <x v="0"/>
    <n v="3"/>
    <x v="3"/>
    <x v="2"/>
  </r>
  <r>
    <d v="2023-11-03T00:00:00"/>
    <x v="0"/>
    <n v="2500"/>
    <n v="914.28571428571399"/>
    <n v="714.28571428571433"/>
    <n v="242"/>
    <n v="0.88"/>
    <n v="0.84"/>
    <n v="0.75"/>
    <x v="3"/>
    <x v="1"/>
    <n v="2"/>
    <x v="3"/>
    <x v="2"/>
  </r>
  <r>
    <d v="2023-05-14T00:00:00"/>
    <x v="0"/>
    <n v="2500"/>
    <n v="914.28571428571399"/>
    <n v="714.28571428571433"/>
    <n v="242"/>
    <n v="0.81"/>
    <n v="0.92"/>
    <n v="0.91"/>
    <x v="0"/>
    <x v="2"/>
    <n v="7"/>
    <x v="0"/>
    <x v="0"/>
  </r>
  <r>
    <d v="2023-10-26T00:00:00"/>
    <x v="2"/>
    <n v="2500"/>
    <n v="914.28571428571399"/>
    <n v="714.28571428571433"/>
    <n v="242"/>
    <n v="0.84"/>
    <n v="0.73"/>
    <n v="0.99"/>
    <x v="1"/>
    <x v="3"/>
    <n v="9"/>
    <x v="2"/>
    <x v="2"/>
  </r>
  <r>
    <d v="2023-03-10T00:00:00"/>
    <x v="2"/>
    <n v="2500"/>
    <n v="914.28571428571399"/>
    <n v="714.28571428571433"/>
    <n v="240"/>
    <n v="0.93"/>
    <n v="0.79"/>
    <n v="0.72"/>
    <x v="2"/>
    <x v="4"/>
    <n v="5"/>
    <x v="4"/>
    <x v="1"/>
  </r>
  <r>
    <d v="2023-04-28T00:00:00"/>
    <x v="2"/>
    <n v="2500"/>
    <n v="914.28571428571399"/>
    <n v="714.28571428571433"/>
    <n v="242"/>
    <n v="0.84"/>
    <n v="0.79"/>
    <n v="0.8"/>
    <x v="3"/>
    <x v="0"/>
    <n v="6"/>
    <x v="5"/>
    <x v="0"/>
  </r>
  <r>
    <d v="2023-01-19T00:00:00"/>
    <x v="2"/>
    <n v="2200"/>
    <n v="385.71428571428601"/>
    <n v="285.71428571428572"/>
    <n v="285"/>
    <n v="0.85"/>
    <n v="0.91"/>
    <n v="0.84"/>
    <x v="0"/>
    <x v="1"/>
    <n v="8"/>
    <x v="11"/>
    <x v="1"/>
  </r>
  <r>
    <d v="2023-08-22T00:00:00"/>
    <x v="1"/>
    <n v="2150"/>
    <n v="385.71428571428601"/>
    <n v="285.71428571428572"/>
    <n v="275"/>
    <n v="0.86"/>
    <n v="0.75"/>
    <n v="0.96"/>
    <x v="2"/>
    <x v="2"/>
    <n v="4"/>
    <x v="6"/>
    <x v="3"/>
  </r>
  <r>
    <d v="2023-08-09T00:00:00"/>
    <x v="3"/>
    <n v="2400"/>
    <n v="385.71428571428601"/>
    <n v="285.71428571428572"/>
    <n v="285"/>
    <n v="0.96"/>
    <n v="0.77"/>
    <n v="0.92"/>
    <x v="3"/>
    <x v="3"/>
    <n v="3"/>
    <x v="6"/>
    <x v="3"/>
  </r>
  <r>
    <d v="2023-06-01T00:00:00"/>
    <x v="2"/>
    <n v="2450"/>
    <n v="385.71428571428601"/>
    <n v="285.71428571428572"/>
    <n v="290"/>
    <n v="0.99"/>
    <n v="0.97"/>
    <n v="0.73"/>
    <x v="0"/>
    <x v="4"/>
    <n v="2"/>
    <x v="7"/>
    <x v="0"/>
  </r>
  <r>
    <d v="2023-03-01T00:00:00"/>
    <x v="1"/>
    <n v="2500"/>
    <n v="385.71428571428601"/>
    <n v="285.71428571428572"/>
    <n v="310"/>
    <n v="0.77"/>
    <n v="0.72"/>
    <n v="0.85"/>
    <x v="1"/>
    <x v="0"/>
    <n v="7"/>
    <x v="4"/>
    <x v="1"/>
  </r>
  <r>
    <d v="2023-11-27T00:00:00"/>
    <x v="3"/>
    <n v="2450"/>
    <n v="385.71428571428601"/>
    <n v="285.71428571428572"/>
    <n v="270"/>
    <n v="0.77"/>
    <n v="0.96"/>
    <n v="0.78"/>
    <x v="2"/>
    <x v="1"/>
    <n v="9"/>
    <x v="3"/>
    <x v="2"/>
  </r>
  <r>
    <d v="2023-10-14T00:00:00"/>
    <x v="2"/>
    <n v="2400"/>
    <n v="385.71428571428601"/>
    <n v="285.71428571428572"/>
    <n v="285"/>
    <n v="0.78"/>
    <n v="0.8"/>
    <n v="0.85"/>
    <x v="3"/>
    <x v="2"/>
    <n v="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7077DE-AB2F-4B8A-BA8D-A6A792DEE784}" name="PivotTable11" cacheId="27"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14">
    <pivotField numFmtId="14" showAll="0"/>
    <pivotField showAll="0">
      <items count="5">
        <item x="0"/>
        <item x="3"/>
        <item x="2"/>
        <item x="1"/>
        <item t="default"/>
      </items>
    </pivotField>
    <pivotField showAll="0"/>
    <pivotField showAll="0"/>
    <pivotField showAll="0"/>
    <pivotField showAll="0"/>
    <pivotField dataField="1" showAll="0"/>
    <pivotField dataField="1" showAll="0"/>
    <pivotField dataField="1" showAll="0"/>
    <pivotField showAll="0"/>
    <pivotField showAll="0"/>
    <pivotField showAll="0"/>
    <pivotField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2"/>
  </rowFields>
  <rowItems count="3">
    <i>
      <x/>
    </i>
    <i i="1">
      <x v="1"/>
    </i>
    <i i="2">
      <x v="2"/>
    </i>
  </rowItems>
  <colItems count="1">
    <i/>
  </colItems>
  <dataFields count="3">
    <dataField name="Average of Sales Completion Rate" fld="6" subtotal="average" baseField="0" baseItem="1"/>
    <dataField name="Average of Profit Completion Rate" fld="7" subtotal="average" baseField="0" baseItem="1"/>
    <dataField name="Average of Customer Completion Rate" fld="8" subtotal="average" baseField="0" baseItem="1"/>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24F2C-CFD3-4814-B30B-DFED8DBD4C11}" name="PivotTable8"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R3:S9" firstHeaderRow="1" firstDataRow="1" firstDataCol="1"/>
  <pivotFields count="14">
    <pivotField numFmtId="14" showAll="0"/>
    <pivotField showAll="0">
      <items count="5">
        <item x="0"/>
        <item x="3"/>
        <item x="2"/>
        <item x="1"/>
        <item t="default"/>
      </items>
    </pivotField>
    <pivotField dataField="1" showAll="0"/>
    <pivotField showAll="0"/>
    <pivotField showAll="0"/>
    <pivotField showAll="0"/>
    <pivotField showAll="0"/>
    <pivotField showAll="0"/>
    <pivotField showAll="0"/>
    <pivotField axis="axisRow" showAll="0">
      <items count="6">
        <item x="0"/>
        <item x="2"/>
        <item x="1"/>
        <item x="3"/>
        <item x="4"/>
        <item t="default"/>
      </items>
    </pivotField>
    <pivotField showAll="0" sortType="descending">
      <items count="6">
        <item x="0"/>
        <item x="3"/>
        <item x="1"/>
        <item x="2"/>
        <item x="4"/>
        <item t="default"/>
      </items>
    </pivotField>
    <pivotField showAll="0"/>
    <pivotField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9"/>
  </rowFields>
  <rowItems count="6">
    <i>
      <x/>
    </i>
    <i>
      <x v="1"/>
    </i>
    <i>
      <x v="2"/>
    </i>
    <i>
      <x v="3"/>
    </i>
    <i>
      <x v="4"/>
    </i>
    <i t="grand">
      <x/>
    </i>
  </rowItems>
  <colItems count="1">
    <i/>
  </colItems>
  <dataFields count="1">
    <dataField name=" Sales" fld="2" baseField="0" baseItem="0"/>
  </dataFields>
  <formats count="1">
    <format dxfId="107">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5AF2A-F18D-48F0-B9C6-06D8480D8245}" name="PivotTable7"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3:P9" firstHeaderRow="1" firstDataRow="1" firstDataCol="1"/>
  <pivotFields count="14">
    <pivotField numFmtId="14" showAll="0"/>
    <pivotField showAll="0">
      <items count="5">
        <item x="0"/>
        <item x="3"/>
        <item x="2"/>
        <item x="1"/>
        <item t="default"/>
      </items>
    </pivotField>
    <pivotField showAll="0"/>
    <pivotField showAll="0"/>
    <pivotField showAll="0"/>
    <pivotField showAll="0"/>
    <pivotField showAll="0"/>
    <pivotField showAll="0"/>
    <pivotField showAll="0"/>
    <pivotField showAll="0"/>
    <pivotField axis="axisRow" showAll="0" sortType="descending">
      <items count="6">
        <item x="0"/>
        <item x="3"/>
        <item x="1"/>
        <item x="2"/>
        <item x="4"/>
        <item t="default"/>
      </items>
    </pivotField>
    <pivotField dataField="1" showAll="0"/>
    <pivotField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10"/>
  </rowFields>
  <rowItems count="6">
    <i>
      <x/>
    </i>
    <i>
      <x v="1"/>
    </i>
    <i>
      <x v="2"/>
    </i>
    <i>
      <x v="3"/>
    </i>
    <i>
      <x v="4"/>
    </i>
    <i t="grand">
      <x/>
    </i>
  </rowItems>
  <colItems count="1">
    <i/>
  </colItems>
  <dataFields count="1">
    <dataField name=" 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F029BD-F9EA-43B8-BC03-354F28B80A79}" name="Pivo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K3:M8" firstHeaderRow="0" firstDataRow="1" firstDataCol="1"/>
  <pivotFields count="14">
    <pivotField numFmtId="14" showAll="0"/>
    <pivotField axis="axisRow" showAll="0" sortType="descending">
      <items count="5">
        <item x="1"/>
        <item x="2"/>
        <item x="3"/>
        <item x="0"/>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1"/>
  </rowFields>
  <rowItems count="5">
    <i>
      <x v="3"/>
    </i>
    <i>
      <x v="1"/>
    </i>
    <i>
      <x/>
    </i>
    <i>
      <x v="2"/>
    </i>
    <i t="grand">
      <x/>
    </i>
  </rowItems>
  <colFields count="1">
    <field x="-2"/>
  </colFields>
  <colItems count="2">
    <i>
      <x/>
    </i>
    <i i="1">
      <x v="1"/>
    </i>
  </colItems>
  <dataFields count="2">
    <dataField name=" Sales" fld="2" baseField="0" baseItem="0" numFmtId="165"/>
    <dataField name=" Profit" fld="3" baseField="0" baseItem="0" numFmtId="165"/>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EDB0C2-F771-438D-A7AA-5C691DAA6944}" name="PivotTable5"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H3:I16" firstHeaderRow="1" firstDataRow="1" firstDataCol="1"/>
  <pivotFields count="14">
    <pivotField numFmtId="14"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12"/>
  </rowFields>
  <rowItems count="13">
    <i>
      <x/>
    </i>
    <i>
      <x v="1"/>
    </i>
    <i>
      <x v="2"/>
    </i>
    <i>
      <x v="3"/>
    </i>
    <i>
      <x v="4"/>
    </i>
    <i>
      <x v="5"/>
    </i>
    <i>
      <x v="6"/>
    </i>
    <i>
      <x v="7"/>
    </i>
    <i>
      <x v="8"/>
    </i>
    <i>
      <x v="9"/>
    </i>
    <i>
      <x v="10"/>
    </i>
    <i>
      <x v="11"/>
    </i>
    <i t="grand">
      <x/>
    </i>
  </rowItems>
  <colItems count="1">
    <i/>
  </colItems>
  <dataFields count="1">
    <dataField name=" No of Customers" fld="5"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E1883F-03BA-493E-AE84-D0C8DDBE5F37}" name="PivotTable4"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3:F16" firstHeaderRow="0" firstDataRow="1" firstDataCol="1"/>
  <pivotFields count="14">
    <pivotField numFmtId="14" showAll="0"/>
    <pivotField showAll="0"/>
    <pivotField dataField="1" showAll="0"/>
    <pivotField showAll="0"/>
    <pivotField dataField="1" showAll="0"/>
    <pivotField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Sales" fld="2" baseField="0" baseItem="0" numFmtId="165"/>
    <dataField name=" Target Sales" fld="4" baseField="0" baseItem="0" numFmtId="165"/>
  </dataField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74F743E-27CA-4A12-B43D-E2F3FA85DF79}" sourceName="Month">
  <pivotTables>
    <pivotTable tabId="7" name="PivotTable4"/>
    <pivotTable tabId="7" name="PivotTable11"/>
    <pivotTable tabId="7" name="PivotTable5"/>
    <pivotTable tabId="7" name="PivotTable6"/>
    <pivotTable tabId="7" name="PivotTable7"/>
    <pivotTable tabId="7" name="PivotTable8"/>
  </pivotTables>
  <data>
    <tabular pivotCacheId="1675466865">
      <items count="12">
        <i x="11" s="1"/>
        <i x="1" s="1"/>
        <i x="4" s="1"/>
        <i x="5" s="1"/>
        <i x="0" s="1"/>
        <i x="7" s="1"/>
        <i x="8" s="1"/>
        <i x="6" s="1"/>
        <i x="9" s="1"/>
        <i x="2" s="1"/>
        <i x="3" s="1"/>
        <i x="1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E768AD8-2B22-4EF9-8407-2CBDDAE60989}" sourceName="Quarter">
  <pivotTables>
    <pivotTable tabId="7" name="PivotTable4"/>
    <pivotTable tabId="7" name="PivotTable11"/>
    <pivotTable tabId="7" name="PivotTable5"/>
    <pivotTable tabId="7" name="PivotTable6"/>
    <pivotTable tabId="7" name="PivotTable7"/>
    <pivotTable tabId="7" name="PivotTable8"/>
  </pivotTables>
  <data>
    <tabular pivotCacheId="1675466865">
      <items count="4">
        <i x="1" s="1"/>
        <i x="0"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4814DC3-BFF7-428F-A822-9B6B9F62C0E8}" cache="Slicer_Month" caption="Month" rowHeight="241300"/>
  <slicer name="Quarter" xr10:uid="{A72E9CC6-B6F0-46A0-8B9F-53E609B2FFBB}"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7CC7E-510E-4A41-AFFC-90D07933921D}" name="Table2" displayName="Table2" ref="A1:N64" totalsRowShown="0">
  <autoFilter ref="A1:N64" xr:uid="{2347CC7E-510E-4A41-AFFC-90D07933921D}"/>
  <tableColumns count="14">
    <tableColumn id="1" xr3:uid="{4FA1FF59-DC9B-40AA-AAC1-1D216C90175C}" name="Date" dataDxfId="113"/>
    <tableColumn id="2" xr3:uid="{4F9CD0DE-9272-479F-821B-79D13EA666A0}" name="Region"/>
    <tableColumn id="3" xr3:uid="{DF1BDE81-12CE-4459-AA7C-CAF067140164}" name="Sales" dataDxfId="112" dataCellStyle="Comma"/>
    <tableColumn id="4" xr3:uid="{1FE78F57-1A8A-4EED-A987-160F2A290283}" name="Profit" dataDxfId="111" dataCellStyle="Comma"/>
    <tableColumn id="5" xr3:uid="{1BBED0B6-F967-489D-B479-7D481FB95AF7}" name="Target Sales" dataDxfId="110" dataCellStyle="Comma"/>
    <tableColumn id="6" xr3:uid="{7EEBD621-A419-4546-8D51-8306097B7A9D}" name="No of Customers"/>
    <tableColumn id="7" xr3:uid="{D2ACBD3C-6560-4435-A41D-C62BA4511D74}" name="Sales Completion Rate"/>
    <tableColumn id="8" xr3:uid="{62B34FF6-4714-4402-B7E2-8B4A7A9EC98A}" name="Profit Completion Rate"/>
    <tableColumn id="9" xr3:uid="{D22EB4B4-28AE-4AB6-9DCF-7A6496A4E3B0}" name="Customer Completion Rate"/>
    <tableColumn id="10" xr3:uid="{18179739-051A-4871-8F9E-C67DF5E6D761}" name="Country"/>
    <tableColumn id="11" xr3:uid="{D3736B01-999E-47A5-95CF-1058FB4B7F58}" name="Customer Satisfaction"/>
    <tableColumn id="12" xr3:uid="{C4E8F660-4B8C-4565-AE66-FB8BFAE553A0}" name="Score"/>
    <tableColumn id="13" xr3:uid="{D7716A66-2690-462B-BD83-38AD168B8588}" name="Month" dataDxfId="109">
      <calculatedColumnFormula>TEXT(Table2[[#This Row],[Date]], "mmm")</calculatedColumnFormula>
    </tableColumn>
    <tableColumn id="14" xr3:uid="{17AAE8E8-C32E-47A9-9DDF-CD1A95CAD6CF}" name="Quarter" dataDxfId="108">
      <calculatedColumnFormula>"Q"&amp;ROUNDUP(MONTH(Table2[[#This Row],[Date]])/3,0)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8EA3-B78A-4A96-BD67-AC29D02CD194}">
  <dimension ref="A1:L64"/>
  <sheetViews>
    <sheetView workbookViewId="0">
      <selection activeCell="C9" sqref="C9"/>
    </sheetView>
  </sheetViews>
  <sheetFormatPr defaultRowHeight="14.25"/>
  <sheetData>
    <row r="1" spans="1:12">
      <c r="A1" t="s">
        <v>0</v>
      </c>
      <c r="B1" t="s">
        <v>1</v>
      </c>
      <c r="C1" t="s">
        <v>2</v>
      </c>
      <c r="D1" t="s">
        <v>3</v>
      </c>
      <c r="E1" t="s">
        <v>4</v>
      </c>
      <c r="F1" t="s">
        <v>5</v>
      </c>
      <c r="G1" t="s">
        <v>6</v>
      </c>
      <c r="H1" t="s">
        <v>7</v>
      </c>
      <c r="I1" t="s">
        <v>8</v>
      </c>
      <c r="J1" t="s">
        <v>9</v>
      </c>
      <c r="K1" t="s">
        <v>10</v>
      </c>
      <c r="L1" t="s">
        <v>11</v>
      </c>
    </row>
    <row r="2" spans="1:12">
      <c r="A2" s="1">
        <v>45060</v>
      </c>
      <c r="B2" t="s">
        <v>12</v>
      </c>
      <c r="C2">
        <v>2581</v>
      </c>
      <c r="D2">
        <v>2957.1428569999998</v>
      </c>
      <c r="E2">
        <v>5857</v>
      </c>
      <c r="F2">
        <v>80</v>
      </c>
      <c r="G2">
        <v>0.89</v>
      </c>
      <c r="H2">
        <v>0.85</v>
      </c>
      <c r="I2">
        <v>0.72</v>
      </c>
      <c r="J2" t="s">
        <v>13</v>
      </c>
      <c r="K2" t="s">
        <v>14</v>
      </c>
      <c r="L2">
        <v>8</v>
      </c>
    </row>
    <row r="3" spans="1:12">
      <c r="A3" s="1">
        <v>44983</v>
      </c>
      <c r="B3" t="s">
        <v>15</v>
      </c>
      <c r="C3">
        <v>3944</v>
      </c>
      <c r="D3">
        <v>2957.1428569999998</v>
      </c>
      <c r="E3">
        <v>5857</v>
      </c>
      <c r="F3">
        <v>30</v>
      </c>
      <c r="G3">
        <v>0.94</v>
      </c>
      <c r="H3">
        <v>0.95</v>
      </c>
      <c r="I3">
        <v>0.86</v>
      </c>
      <c r="J3" t="s">
        <v>16</v>
      </c>
      <c r="K3" t="s">
        <v>17</v>
      </c>
      <c r="L3">
        <v>4</v>
      </c>
    </row>
    <row r="4" spans="1:12">
      <c r="A4" s="1">
        <v>44984</v>
      </c>
      <c r="B4" t="s">
        <v>18</v>
      </c>
      <c r="C4">
        <v>3293</v>
      </c>
      <c r="D4">
        <v>2957.1428569999998</v>
      </c>
      <c r="E4">
        <v>5857</v>
      </c>
      <c r="F4">
        <v>15</v>
      </c>
      <c r="G4">
        <v>0.82</v>
      </c>
      <c r="H4">
        <v>0.8</v>
      </c>
      <c r="I4">
        <v>0.76</v>
      </c>
      <c r="J4" t="s">
        <v>19</v>
      </c>
      <c r="K4" t="s">
        <v>20</v>
      </c>
      <c r="L4">
        <v>3</v>
      </c>
    </row>
    <row r="5" spans="1:12">
      <c r="A5" s="1">
        <v>44985</v>
      </c>
      <c r="B5" t="s">
        <v>18</v>
      </c>
      <c r="C5">
        <v>2019</v>
      </c>
      <c r="D5">
        <v>2957.1428569999998</v>
      </c>
      <c r="E5">
        <v>5857</v>
      </c>
      <c r="F5">
        <v>40</v>
      </c>
      <c r="G5">
        <v>0.79</v>
      </c>
      <c r="H5">
        <v>0.79</v>
      </c>
      <c r="I5">
        <v>0.79</v>
      </c>
      <c r="J5" t="s">
        <v>21</v>
      </c>
      <c r="K5" t="s">
        <v>14</v>
      </c>
      <c r="L5">
        <v>2</v>
      </c>
    </row>
    <row r="6" spans="1:12">
      <c r="A6" s="1">
        <v>45228</v>
      </c>
      <c r="B6" t="s">
        <v>15</v>
      </c>
      <c r="C6">
        <v>2980</v>
      </c>
      <c r="D6">
        <v>2958</v>
      </c>
      <c r="E6">
        <v>5857</v>
      </c>
      <c r="F6">
        <v>100</v>
      </c>
      <c r="G6">
        <v>0.96</v>
      </c>
      <c r="H6">
        <v>0.79</v>
      </c>
      <c r="I6">
        <v>0.7</v>
      </c>
      <c r="J6" t="s">
        <v>22</v>
      </c>
      <c r="K6" t="s">
        <v>23</v>
      </c>
      <c r="L6">
        <v>7</v>
      </c>
    </row>
    <row r="7" spans="1:12">
      <c r="A7" s="1">
        <v>45229</v>
      </c>
      <c r="B7" t="s">
        <v>15</v>
      </c>
      <c r="C7">
        <v>2209</v>
      </c>
      <c r="D7">
        <v>2957.1428569999998</v>
      </c>
      <c r="E7">
        <v>5857</v>
      </c>
      <c r="F7">
        <v>15</v>
      </c>
      <c r="G7">
        <v>0.79</v>
      </c>
      <c r="H7">
        <v>0.79</v>
      </c>
      <c r="I7">
        <v>0.77</v>
      </c>
      <c r="J7" t="s">
        <v>22</v>
      </c>
      <c r="K7" t="s">
        <v>14</v>
      </c>
      <c r="L7">
        <v>9</v>
      </c>
    </row>
    <row r="8" spans="1:12">
      <c r="A8" s="1">
        <v>45230</v>
      </c>
      <c r="B8" t="s">
        <v>24</v>
      </c>
      <c r="C8">
        <v>2440</v>
      </c>
      <c r="D8">
        <v>2957.1428569999998</v>
      </c>
      <c r="E8">
        <v>5857</v>
      </c>
      <c r="F8">
        <v>20</v>
      </c>
      <c r="G8">
        <v>0.75</v>
      </c>
      <c r="H8">
        <v>0.72</v>
      </c>
      <c r="I8">
        <v>0.93</v>
      </c>
      <c r="J8" t="s">
        <v>22</v>
      </c>
      <c r="K8" t="s">
        <v>17</v>
      </c>
      <c r="L8">
        <v>5</v>
      </c>
    </row>
    <row r="9" spans="1:12">
      <c r="A9" s="1">
        <v>45231</v>
      </c>
      <c r="B9" t="s">
        <v>24</v>
      </c>
      <c r="C9">
        <v>2000</v>
      </c>
      <c r="D9">
        <v>1328.5714290000001</v>
      </c>
      <c r="E9">
        <v>4428.5714289999996</v>
      </c>
      <c r="F9">
        <v>90</v>
      </c>
      <c r="G9">
        <v>0.92</v>
      </c>
      <c r="H9">
        <v>0.99</v>
      </c>
      <c r="I9">
        <v>0.74</v>
      </c>
      <c r="J9" t="s">
        <v>19</v>
      </c>
      <c r="K9" t="s">
        <v>17</v>
      </c>
      <c r="L9">
        <v>6</v>
      </c>
    </row>
    <row r="10" spans="1:12">
      <c r="A10" s="1">
        <v>45232</v>
      </c>
      <c r="B10" t="s">
        <v>24</v>
      </c>
      <c r="C10">
        <v>1431</v>
      </c>
      <c r="D10">
        <v>1328.5714290000001</v>
      </c>
      <c r="E10">
        <v>4428.5714289999996</v>
      </c>
      <c r="F10">
        <v>30</v>
      </c>
      <c r="G10">
        <v>0.7</v>
      </c>
      <c r="H10">
        <v>0.99</v>
      </c>
      <c r="I10">
        <v>0.95</v>
      </c>
      <c r="J10" t="s">
        <v>19</v>
      </c>
      <c r="K10" t="s">
        <v>23</v>
      </c>
      <c r="L10">
        <v>8</v>
      </c>
    </row>
    <row r="11" spans="1:12">
      <c r="A11" s="1">
        <v>45233</v>
      </c>
      <c r="B11" t="s">
        <v>15</v>
      </c>
      <c r="C11">
        <v>3000</v>
      </c>
      <c r="D11">
        <v>1328.5714290000001</v>
      </c>
      <c r="E11">
        <v>4428.5714289999996</v>
      </c>
      <c r="F11">
        <v>15</v>
      </c>
      <c r="G11">
        <v>0.91</v>
      </c>
      <c r="H11">
        <v>0.98</v>
      </c>
      <c r="I11">
        <v>0.89</v>
      </c>
      <c r="J11" t="s">
        <v>19</v>
      </c>
      <c r="K11" t="s">
        <v>23</v>
      </c>
      <c r="L11">
        <v>4</v>
      </c>
    </row>
    <row r="12" spans="1:12">
      <c r="A12" s="1">
        <v>45060</v>
      </c>
      <c r="B12" t="s">
        <v>15</v>
      </c>
      <c r="C12">
        <v>4000</v>
      </c>
      <c r="D12">
        <v>1328.5714290000001</v>
      </c>
      <c r="E12">
        <v>4428.5714289999996</v>
      </c>
      <c r="F12">
        <v>40</v>
      </c>
      <c r="G12">
        <v>0.74</v>
      </c>
      <c r="H12">
        <v>0.85</v>
      </c>
      <c r="I12">
        <v>0.7</v>
      </c>
      <c r="J12" t="s">
        <v>19</v>
      </c>
      <c r="K12" t="s">
        <v>14</v>
      </c>
      <c r="L12">
        <v>3</v>
      </c>
    </row>
    <row r="13" spans="1:12">
      <c r="A13" s="1">
        <v>45225</v>
      </c>
      <c r="B13" t="s">
        <v>12</v>
      </c>
      <c r="C13">
        <v>1000</v>
      </c>
      <c r="D13">
        <v>1328.5714290000001</v>
      </c>
      <c r="E13">
        <v>4428.5714289999996</v>
      </c>
      <c r="F13">
        <v>100</v>
      </c>
      <c r="G13">
        <v>0.9</v>
      </c>
      <c r="H13">
        <v>0.9</v>
      </c>
      <c r="I13">
        <v>0.72</v>
      </c>
      <c r="J13" t="s">
        <v>19</v>
      </c>
      <c r="K13" t="s">
        <v>17</v>
      </c>
      <c r="L13">
        <v>2</v>
      </c>
    </row>
    <row r="14" spans="1:12">
      <c r="A14" s="1">
        <v>44995</v>
      </c>
      <c r="B14" t="s">
        <v>12</v>
      </c>
      <c r="C14">
        <v>2000</v>
      </c>
      <c r="D14">
        <v>1328.5714290000001</v>
      </c>
      <c r="E14">
        <v>4428.5714289999996</v>
      </c>
      <c r="F14">
        <v>15</v>
      </c>
      <c r="G14">
        <v>0.95</v>
      </c>
      <c r="H14">
        <v>0.97</v>
      </c>
      <c r="I14">
        <v>0.81</v>
      </c>
      <c r="J14" t="s">
        <v>19</v>
      </c>
      <c r="K14" t="s">
        <v>20</v>
      </c>
      <c r="L14">
        <v>7</v>
      </c>
    </row>
    <row r="15" spans="1:12">
      <c r="A15" s="1">
        <v>45044</v>
      </c>
      <c r="B15" t="s">
        <v>18</v>
      </c>
      <c r="C15">
        <v>2000</v>
      </c>
      <c r="D15">
        <v>1328.5714290000001</v>
      </c>
      <c r="E15">
        <v>4428.5714289999996</v>
      </c>
      <c r="F15">
        <v>20</v>
      </c>
      <c r="G15">
        <v>0.99</v>
      </c>
      <c r="H15">
        <v>0.79</v>
      </c>
      <c r="I15">
        <v>0.75</v>
      </c>
      <c r="J15" t="s">
        <v>19</v>
      </c>
      <c r="K15" t="s">
        <v>23</v>
      </c>
      <c r="L15">
        <v>9</v>
      </c>
    </row>
    <row r="16" spans="1:12">
      <c r="A16" s="1">
        <v>45218</v>
      </c>
      <c r="B16" t="s">
        <v>18</v>
      </c>
      <c r="C16">
        <v>4000</v>
      </c>
      <c r="D16">
        <v>1328.5714290000001</v>
      </c>
      <c r="E16">
        <v>1428.5714290000001</v>
      </c>
      <c r="F16">
        <v>45</v>
      </c>
      <c r="G16">
        <v>0.86</v>
      </c>
      <c r="H16">
        <v>0.97</v>
      </c>
      <c r="I16">
        <v>0.89</v>
      </c>
      <c r="J16" t="s">
        <v>13</v>
      </c>
      <c r="K16" t="s">
        <v>25</v>
      </c>
      <c r="L16">
        <v>5</v>
      </c>
    </row>
    <row r="17" spans="1:12">
      <c r="A17" s="1">
        <v>45160</v>
      </c>
      <c r="B17" t="s">
        <v>12</v>
      </c>
      <c r="C17">
        <v>6000</v>
      </c>
      <c r="D17">
        <v>1328.5714290000001</v>
      </c>
      <c r="E17">
        <v>1428.5714290000001</v>
      </c>
      <c r="F17">
        <v>43</v>
      </c>
      <c r="G17">
        <v>0.83</v>
      </c>
      <c r="H17">
        <v>0.72</v>
      </c>
      <c r="I17">
        <v>0.74</v>
      </c>
      <c r="J17" t="s">
        <v>16</v>
      </c>
      <c r="K17" t="s">
        <v>14</v>
      </c>
      <c r="L17">
        <v>6</v>
      </c>
    </row>
    <row r="18" spans="1:12">
      <c r="A18" s="1">
        <v>45147</v>
      </c>
      <c r="B18" t="s">
        <v>15</v>
      </c>
      <c r="C18">
        <v>6500</v>
      </c>
      <c r="D18">
        <v>1328.5714290000001</v>
      </c>
      <c r="E18">
        <v>1428.5714290000001</v>
      </c>
      <c r="F18">
        <v>43</v>
      </c>
      <c r="G18">
        <v>0.74</v>
      </c>
      <c r="H18">
        <v>0.78</v>
      </c>
      <c r="I18">
        <v>0.94</v>
      </c>
      <c r="J18" t="s">
        <v>19</v>
      </c>
      <c r="K18" t="s">
        <v>17</v>
      </c>
      <c r="L18">
        <v>8</v>
      </c>
    </row>
    <row r="19" spans="1:12">
      <c r="A19" s="1">
        <v>45078</v>
      </c>
      <c r="B19" t="s">
        <v>24</v>
      </c>
      <c r="C19">
        <v>1200</v>
      </c>
      <c r="D19">
        <v>1328.5714290000001</v>
      </c>
      <c r="E19">
        <v>1428.5714290000001</v>
      </c>
      <c r="F19">
        <v>43</v>
      </c>
      <c r="G19">
        <v>0.8</v>
      </c>
      <c r="H19">
        <v>0.84</v>
      </c>
      <c r="I19">
        <v>0.81</v>
      </c>
      <c r="J19" t="s">
        <v>21</v>
      </c>
      <c r="K19" t="s">
        <v>17</v>
      </c>
      <c r="L19">
        <v>4</v>
      </c>
    </row>
    <row r="20" spans="1:12">
      <c r="A20" s="1">
        <v>44986</v>
      </c>
      <c r="B20" t="s">
        <v>24</v>
      </c>
      <c r="C20">
        <v>3000</v>
      </c>
      <c r="D20">
        <v>1328.5714290000001</v>
      </c>
      <c r="E20">
        <v>1428.5714290000001</v>
      </c>
      <c r="F20">
        <v>43</v>
      </c>
      <c r="G20">
        <v>0.89</v>
      </c>
      <c r="H20">
        <v>0.99</v>
      </c>
      <c r="I20">
        <v>0.97</v>
      </c>
      <c r="J20" t="s">
        <v>13</v>
      </c>
      <c r="K20" t="s">
        <v>14</v>
      </c>
      <c r="L20">
        <v>3</v>
      </c>
    </row>
    <row r="21" spans="1:12">
      <c r="A21" s="1">
        <v>45257</v>
      </c>
      <c r="B21" t="s">
        <v>24</v>
      </c>
      <c r="C21">
        <v>2000</v>
      </c>
      <c r="D21">
        <v>1328.5714290000001</v>
      </c>
      <c r="E21">
        <v>1428.5714290000001</v>
      </c>
      <c r="F21">
        <v>40</v>
      </c>
      <c r="G21">
        <v>0.71</v>
      </c>
      <c r="H21">
        <v>0.87</v>
      </c>
      <c r="I21">
        <v>0.94</v>
      </c>
      <c r="J21" t="s">
        <v>16</v>
      </c>
      <c r="K21" t="s">
        <v>25</v>
      </c>
      <c r="L21">
        <v>2</v>
      </c>
    </row>
    <row r="22" spans="1:12">
      <c r="A22" s="1">
        <v>45213</v>
      </c>
      <c r="B22" t="s">
        <v>24</v>
      </c>
      <c r="C22">
        <v>2000</v>
      </c>
      <c r="D22">
        <v>1328.5714290000001</v>
      </c>
      <c r="E22">
        <v>1428.5714290000001</v>
      </c>
      <c r="F22">
        <v>43</v>
      </c>
      <c r="G22">
        <v>0.9</v>
      </c>
      <c r="H22">
        <v>0.72</v>
      </c>
      <c r="I22">
        <v>0.94</v>
      </c>
      <c r="J22" t="s">
        <v>19</v>
      </c>
      <c r="K22" t="s">
        <v>14</v>
      </c>
      <c r="L22">
        <v>7</v>
      </c>
    </row>
    <row r="23" spans="1:12">
      <c r="A23" s="1">
        <v>45098</v>
      </c>
      <c r="B23" t="s">
        <v>12</v>
      </c>
      <c r="C23">
        <v>3000</v>
      </c>
      <c r="D23">
        <v>5214.2857139999996</v>
      </c>
      <c r="E23">
        <v>6714.2857139999996</v>
      </c>
      <c r="F23">
        <v>100</v>
      </c>
      <c r="G23">
        <v>0.89</v>
      </c>
      <c r="H23">
        <v>0.85</v>
      </c>
      <c r="I23">
        <v>0.87</v>
      </c>
      <c r="J23" t="s">
        <v>21</v>
      </c>
      <c r="K23" t="s">
        <v>17</v>
      </c>
      <c r="L23">
        <v>9</v>
      </c>
    </row>
    <row r="24" spans="1:12">
      <c r="A24" s="1">
        <v>45130</v>
      </c>
      <c r="B24" t="s">
        <v>18</v>
      </c>
      <c r="C24">
        <v>4500</v>
      </c>
      <c r="D24">
        <v>5214.2857139999996</v>
      </c>
      <c r="E24">
        <v>6714.2857139999996</v>
      </c>
      <c r="F24">
        <v>100</v>
      </c>
      <c r="G24">
        <v>0.89</v>
      </c>
      <c r="H24">
        <v>0.8</v>
      </c>
      <c r="I24">
        <v>0.88</v>
      </c>
      <c r="J24" t="s">
        <v>13</v>
      </c>
      <c r="K24" t="s">
        <v>20</v>
      </c>
      <c r="L24">
        <v>5</v>
      </c>
    </row>
    <row r="25" spans="1:12">
      <c r="A25" s="1">
        <v>45127</v>
      </c>
      <c r="B25" t="s">
        <v>12</v>
      </c>
      <c r="C25">
        <v>5500</v>
      </c>
      <c r="D25">
        <v>1214.2857140000001</v>
      </c>
      <c r="E25">
        <v>6714.2857139999996</v>
      </c>
      <c r="F25">
        <v>100</v>
      </c>
      <c r="G25">
        <v>0.98</v>
      </c>
      <c r="H25">
        <v>0.99</v>
      </c>
      <c r="I25">
        <v>0.81</v>
      </c>
      <c r="J25" t="s">
        <v>19</v>
      </c>
      <c r="K25" t="s">
        <v>14</v>
      </c>
      <c r="L25">
        <v>6</v>
      </c>
    </row>
    <row r="26" spans="1:12">
      <c r="A26" s="1">
        <v>45129</v>
      </c>
      <c r="B26" t="s">
        <v>15</v>
      </c>
      <c r="C26">
        <v>1000</v>
      </c>
      <c r="D26">
        <v>5214.2857139999996</v>
      </c>
      <c r="E26">
        <v>6714.2857139999996</v>
      </c>
      <c r="F26">
        <v>100</v>
      </c>
      <c r="G26">
        <v>0.81</v>
      </c>
      <c r="H26">
        <v>0.91</v>
      </c>
      <c r="I26">
        <v>0.95</v>
      </c>
      <c r="J26" t="s">
        <v>21</v>
      </c>
      <c r="K26" t="s">
        <v>25</v>
      </c>
      <c r="L26">
        <v>8</v>
      </c>
    </row>
    <row r="27" spans="1:12">
      <c r="A27" s="1">
        <v>45018</v>
      </c>
      <c r="B27" t="s">
        <v>12</v>
      </c>
      <c r="C27">
        <v>2000</v>
      </c>
      <c r="D27">
        <v>5214.2857139999996</v>
      </c>
      <c r="E27">
        <v>6714.2857139999996</v>
      </c>
      <c r="F27">
        <v>100</v>
      </c>
      <c r="G27">
        <v>0.97</v>
      </c>
      <c r="H27">
        <v>0.85</v>
      </c>
      <c r="I27">
        <v>0.85</v>
      </c>
      <c r="J27" t="s">
        <v>13</v>
      </c>
      <c r="K27" t="s">
        <v>14</v>
      </c>
      <c r="L27">
        <v>4</v>
      </c>
    </row>
    <row r="28" spans="1:12">
      <c r="A28" s="1">
        <v>44979</v>
      </c>
      <c r="B28" t="s">
        <v>12</v>
      </c>
      <c r="C28">
        <v>2000</v>
      </c>
      <c r="D28">
        <v>5214.2857139999996</v>
      </c>
      <c r="E28">
        <v>6714.2857139999996</v>
      </c>
      <c r="F28">
        <v>100</v>
      </c>
      <c r="G28">
        <v>0.89</v>
      </c>
      <c r="H28">
        <v>0.94</v>
      </c>
      <c r="I28">
        <v>0.8</v>
      </c>
      <c r="J28" t="s">
        <v>16</v>
      </c>
      <c r="K28" t="s">
        <v>14</v>
      </c>
      <c r="L28">
        <v>3</v>
      </c>
    </row>
    <row r="29" spans="1:12">
      <c r="A29" s="1">
        <v>45179</v>
      </c>
      <c r="B29" t="s">
        <v>12</v>
      </c>
      <c r="C29">
        <v>2000</v>
      </c>
      <c r="D29">
        <v>5214.2857139999996</v>
      </c>
      <c r="E29">
        <v>6714.2857139999996</v>
      </c>
      <c r="F29">
        <v>100</v>
      </c>
      <c r="G29">
        <v>0.88</v>
      </c>
      <c r="H29">
        <v>0.94</v>
      </c>
      <c r="I29">
        <v>0.7</v>
      </c>
      <c r="J29" t="s">
        <v>19</v>
      </c>
      <c r="K29" t="s">
        <v>20</v>
      </c>
      <c r="L29">
        <v>2</v>
      </c>
    </row>
    <row r="30" spans="1:12">
      <c r="A30" s="1">
        <v>45275</v>
      </c>
      <c r="B30" t="s">
        <v>12</v>
      </c>
      <c r="C30">
        <v>2000</v>
      </c>
      <c r="D30">
        <v>2957.1428569999998</v>
      </c>
      <c r="E30">
        <v>2857.1428569999998</v>
      </c>
      <c r="F30">
        <v>90</v>
      </c>
      <c r="G30">
        <v>0.75</v>
      </c>
      <c r="H30">
        <v>0.77</v>
      </c>
      <c r="I30">
        <v>0.84</v>
      </c>
      <c r="J30" t="s">
        <v>21</v>
      </c>
      <c r="K30" t="s">
        <v>23</v>
      </c>
      <c r="L30">
        <v>7</v>
      </c>
    </row>
    <row r="31" spans="1:12">
      <c r="A31" s="1">
        <v>44997</v>
      </c>
      <c r="B31" t="s">
        <v>12</v>
      </c>
      <c r="C31">
        <v>1700</v>
      </c>
      <c r="D31">
        <v>2957.1428569999998</v>
      </c>
      <c r="E31">
        <v>2857.1428569999998</v>
      </c>
      <c r="F31">
        <v>80</v>
      </c>
      <c r="G31">
        <v>0.73</v>
      </c>
      <c r="H31">
        <v>0.96</v>
      </c>
      <c r="I31">
        <v>0.93</v>
      </c>
      <c r="J31" t="s">
        <v>21</v>
      </c>
      <c r="K31" t="s">
        <v>25</v>
      </c>
      <c r="L31">
        <v>4</v>
      </c>
    </row>
    <row r="32" spans="1:12">
      <c r="A32" s="1">
        <v>45179</v>
      </c>
      <c r="B32" t="s">
        <v>12</v>
      </c>
      <c r="C32">
        <v>1600</v>
      </c>
      <c r="D32">
        <v>2957.1428569999998</v>
      </c>
      <c r="E32">
        <v>2857.1428569999998</v>
      </c>
      <c r="F32">
        <v>90</v>
      </c>
      <c r="G32">
        <v>0.93</v>
      </c>
      <c r="H32">
        <v>0.74</v>
      </c>
      <c r="I32">
        <v>0.93</v>
      </c>
      <c r="J32" t="s">
        <v>19</v>
      </c>
      <c r="K32" t="s">
        <v>14</v>
      </c>
      <c r="L32">
        <v>5</v>
      </c>
    </row>
    <row r="33" spans="1:12">
      <c r="A33" s="1">
        <v>44928</v>
      </c>
      <c r="B33" t="s">
        <v>15</v>
      </c>
      <c r="C33">
        <v>1200</v>
      </c>
      <c r="D33">
        <v>2957.1428569999998</v>
      </c>
      <c r="E33">
        <v>2857.1428569999998</v>
      </c>
      <c r="F33">
        <v>110</v>
      </c>
      <c r="G33">
        <v>0.85</v>
      </c>
      <c r="H33">
        <v>0.7</v>
      </c>
      <c r="I33">
        <v>0.99</v>
      </c>
      <c r="J33" t="s">
        <v>21</v>
      </c>
      <c r="K33" t="s">
        <v>17</v>
      </c>
      <c r="L33">
        <v>6</v>
      </c>
    </row>
    <row r="34" spans="1:12">
      <c r="A34" s="1">
        <v>45227</v>
      </c>
      <c r="B34" t="s">
        <v>18</v>
      </c>
      <c r="C34">
        <v>2500</v>
      </c>
      <c r="D34">
        <v>2957.1428569999998</v>
      </c>
      <c r="E34">
        <v>2857.1428569999998</v>
      </c>
      <c r="F34">
        <v>90</v>
      </c>
      <c r="G34">
        <v>0.92</v>
      </c>
      <c r="H34">
        <v>0.99</v>
      </c>
      <c r="I34">
        <v>0.88</v>
      </c>
      <c r="J34" t="s">
        <v>13</v>
      </c>
      <c r="K34" t="s">
        <v>20</v>
      </c>
      <c r="L34">
        <v>8</v>
      </c>
    </row>
    <row r="35" spans="1:12">
      <c r="A35" s="1">
        <v>45103</v>
      </c>
      <c r="B35" t="s">
        <v>18</v>
      </c>
      <c r="C35">
        <v>2100</v>
      </c>
      <c r="D35">
        <v>2957.1428569999998</v>
      </c>
      <c r="E35">
        <v>2857.1428569999998</v>
      </c>
      <c r="F35">
        <v>100</v>
      </c>
      <c r="G35">
        <v>0.75</v>
      </c>
      <c r="H35">
        <v>0.97</v>
      </c>
      <c r="I35">
        <v>0.83</v>
      </c>
      <c r="J35" t="s">
        <v>16</v>
      </c>
      <c r="K35" t="s">
        <v>23</v>
      </c>
      <c r="L35">
        <v>4</v>
      </c>
    </row>
    <row r="36" spans="1:12">
      <c r="A36" s="1">
        <v>45243</v>
      </c>
      <c r="B36" t="s">
        <v>18</v>
      </c>
      <c r="C36">
        <v>2150</v>
      </c>
      <c r="D36">
        <v>2957.1428569999998</v>
      </c>
      <c r="E36">
        <v>2857.1428569999998</v>
      </c>
      <c r="F36">
        <v>90</v>
      </c>
      <c r="G36">
        <v>0.77</v>
      </c>
      <c r="H36">
        <v>0.97</v>
      </c>
      <c r="I36">
        <v>0.78</v>
      </c>
      <c r="J36" t="s">
        <v>13</v>
      </c>
      <c r="K36" t="s">
        <v>25</v>
      </c>
      <c r="L36">
        <v>3</v>
      </c>
    </row>
    <row r="37" spans="1:12">
      <c r="A37" s="1">
        <v>45107</v>
      </c>
      <c r="B37" t="s">
        <v>18</v>
      </c>
      <c r="C37">
        <v>2200</v>
      </c>
      <c r="D37">
        <v>757.14285710000001</v>
      </c>
      <c r="E37">
        <v>857.14285710000001</v>
      </c>
      <c r="F37">
        <v>228</v>
      </c>
      <c r="G37">
        <v>0.79</v>
      </c>
      <c r="H37">
        <v>0.75</v>
      </c>
      <c r="I37">
        <v>0.93</v>
      </c>
      <c r="J37" t="s">
        <v>16</v>
      </c>
      <c r="K37" t="s">
        <v>14</v>
      </c>
      <c r="L37">
        <v>2</v>
      </c>
    </row>
    <row r="38" spans="1:12">
      <c r="A38" s="1">
        <v>45030</v>
      </c>
      <c r="B38" t="s">
        <v>15</v>
      </c>
      <c r="C38">
        <v>1800</v>
      </c>
      <c r="D38">
        <v>757.14285710000001</v>
      </c>
      <c r="E38">
        <v>857.14285710000001</v>
      </c>
      <c r="F38">
        <v>220</v>
      </c>
      <c r="G38">
        <v>0.81</v>
      </c>
      <c r="H38">
        <v>0.98</v>
      </c>
      <c r="I38">
        <v>0.86</v>
      </c>
      <c r="J38" t="s">
        <v>19</v>
      </c>
      <c r="K38" t="s">
        <v>17</v>
      </c>
      <c r="L38">
        <v>7</v>
      </c>
    </row>
    <row r="39" spans="1:12">
      <c r="A39" s="1">
        <v>45266</v>
      </c>
      <c r="B39" t="s">
        <v>24</v>
      </c>
      <c r="C39">
        <v>1800</v>
      </c>
      <c r="D39">
        <v>757.14285710000001</v>
      </c>
      <c r="E39">
        <v>857.14285710000001</v>
      </c>
      <c r="F39">
        <v>228</v>
      </c>
      <c r="G39">
        <v>0.86</v>
      </c>
      <c r="H39">
        <v>0.82</v>
      </c>
      <c r="I39">
        <v>0.86</v>
      </c>
      <c r="J39" t="s">
        <v>21</v>
      </c>
      <c r="K39" t="s">
        <v>20</v>
      </c>
      <c r="L39">
        <v>9</v>
      </c>
    </row>
    <row r="40" spans="1:12">
      <c r="A40" s="1">
        <v>45054</v>
      </c>
      <c r="B40" t="s">
        <v>12</v>
      </c>
      <c r="C40">
        <v>1414</v>
      </c>
      <c r="D40">
        <v>757.14285710000001</v>
      </c>
      <c r="E40">
        <v>857.14285710000001</v>
      </c>
      <c r="F40">
        <v>238</v>
      </c>
      <c r="G40">
        <v>0.72</v>
      </c>
      <c r="H40">
        <v>0.95</v>
      </c>
      <c r="I40">
        <v>0.9</v>
      </c>
      <c r="J40" t="s">
        <v>22</v>
      </c>
      <c r="K40" t="s">
        <v>23</v>
      </c>
      <c r="L40">
        <v>5</v>
      </c>
    </row>
    <row r="41" spans="1:12">
      <c r="A41" s="1">
        <v>45019</v>
      </c>
      <c r="B41" t="s">
        <v>18</v>
      </c>
      <c r="C41">
        <v>2100</v>
      </c>
      <c r="D41">
        <v>757.14285710000001</v>
      </c>
      <c r="E41">
        <v>857.14285710000001</v>
      </c>
      <c r="F41">
        <v>228</v>
      </c>
      <c r="G41">
        <v>0.71</v>
      </c>
      <c r="H41">
        <v>0.8</v>
      </c>
      <c r="I41">
        <v>0.76</v>
      </c>
      <c r="J41" t="s">
        <v>22</v>
      </c>
      <c r="K41" t="s">
        <v>25</v>
      </c>
      <c r="L41">
        <v>5</v>
      </c>
    </row>
    <row r="42" spans="1:12">
      <c r="A42" s="1">
        <v>45078</v>
      </c>
      <c r="B42" t="s">
        <v>18</v>
      </c>
      <c r="C42">
        <v>2500</v>
      </c>
      <c r="D42">
        <v>757.14285710000001</v>
      </c>
      <c r="E42">
        <v>857.14285710000001</v>
      </c>
      <c r="F42">
        <v>230</v>
      </c>
      <c r="G42">
        <v>0.97</v>
      </c>
      <c r="H42">
        <v>0.95</v>
      </c>
      <c r="I42">
        <v>0.85</v>
      </c>
      <c r="J42" t="s">
        <v>22</v>
      </c>
      <c r="K42" t="s">
        <v>14</v>
      </c>
      <c r="L42">
        <v>8</v>
      </c>
    </row>
    <row r="43" spans="1:12">
      <c r="A43" s="1">
        <v>45233</v>
      </c>
      <c r="B43" t="s">
        <v>24</v>
      </c>
      <c r="C43">
        <v>2200</v>
      </c>
      <c r="D43">
        <v>757.14285710000001</v>
      </c>
      <c r="E43">
        <v>857.14285710000001</v>
      </c>
      <c r="F43">
        <v>228</v>
      </c>
      <c r="G43">
        <v>0.95</v>
      </c>
      <c r="H43">
        <v>0.85</v>
      </c>
      <c r="I43">
        <v>0.91</v>
      </c>
      <c r="J43" t="s">
        <v>19</v>
      </c>
      <c r="K43" t="s">
        <v>17</v>
      </c>
      <c r="L43">
        <v>4</v>
      </c>
    </row>
    <row r="44" spans="1:12">
      <c r="A44" s="1">
        <v>45060</v>
      </c>
      <c r="B44" t="s">
        <v>12</v>
      </c>
      <c r="C44">
        <v>2500</v>
      </c>
      <c r="D44">
        <v>914.2857143</v>
      </c>
      <c r="E44">
        <v>714.2857143</v>
      </c>
      <c r="F44">
        <v>250</v>
      </c>
      <c r="G44">
        <v>0.97</v>
      </c>
      <c r="H44">
        <v>0.7</v>
      </c>
      <c r="I44">
        <v>0.93</v>
      </c>
      <c r="J44" t="s">
        <v>19</v>
      </c>
      <c r="K44" t="s">
        <v>20</v>
      </c>
      <c r="L44">
        <v>3</v>
      </c>
    </row>
    <row r="45" spans="1:12">
      <c r="A45" s="1">
        <v>45225</v>
      </c>
      <c r="B45" t="s">
        <v>18</v>
      </c>
      <c r="C45">
        <v>2200</v>
      </c>
      <c r="D45">
        <v>914.2857143</v>
      </c>
      <c r="E45">
        <v>714.2857143</v>
      </c>
      <c r="F45">
        <v>240</v>
      </c>
      <c r="G45">
        <v>0.9</v>
      </c>
      <c r="H45">
        <v>0.98</v>
      </c>
      <c r="I45">
        <v>0.96</v>
      </c>
      <c r="J45" t="s">
        <v>19</v>
      </c>
      <c r="K45" t="s">
        <v>23</v>
      </c>
      <c r="L45">
        <v>2</v>
      </c>
    </row>
    <row r="46" spans="1:12">
      <c r="A46" s="1">
        <v>45226</v>
      </c>
      <c r="B46" t="s">
        <v>12</v>
      </c>
      <c r="C46">
        <v>2500</v>
      </c>
      <c r="D46">
        <v>914.2857143</v>
      </c>
      <c r="E46">
        <v>714.2857143</v>
      </c>
      <c r="F46">
        <v>270</v>
      </c>
      <c r="G46">
        <v>0.9</v>
      </c>
      <c r="H46">
        <v>0.95</v>
      </c>
      <c r="I46">
        <v>0.98</v>
      </c>
      <c r="J46" t="s">
        <v>19</v>
      </c>
      <c r="K46" t="s">
        <v>25</v>
      </c>
      <c r="L46">
        <v>3</v>
      </c>
    </row>
    <row r="47" spans="1:12">
      <c r="A47" s="1">
        <v>44954</v>
      </c>
      <c r="B47" t="s">
        <v>15</v>
      </c>
      <c r="C47">
        <v>2000</v>
      </c>
      <c r="D47">
        <v>914.2857143</v>
      </c>
      <c r="E47">
        <v>714.2857143</v>
      </c>
      <c r="F47">
        <v>259</v>
      </c>
      <c r="G47">
        <v>0.96</v>
      </c>
      <c r="H47">
        <v>0.81</v>
      </c>
      <c r="I47">
        <v>0.85</v>
      </c>
      <c r="J47" t="s">
        <v>19</v>
      </c>
      <c r="K47" t="s">
        <v>14</v>
      </c>
      <c r="L47">
        <v>9</v>
      </c>
    </row>
    <row r="48" spans="1:12">
      <c r="A48" s="1">
        <v>44955</v>
      </c>
      <c r="B48" t="s">
        <v>15</v>
      </c>
      <c r="C48">
        <v>2500</v>
      </c>
      <c r="D48">
        <v>914.2857143</v>
      </c>
      <c r="E48">
        <v>714.2857143</v>
      </c>
      <c r="F48">
        <v>260</v>
      </c>
      <c r="G48">
        <v>0.98</v>
      </c>
      <c r="H48">
        <v>0.84</v>
      </c>
      <c r="I48">
        <v>0.89</v>
      </c>
      <c r="J48" t="s">
        <v>19</v>
      </c>
      <c r="K48" t="s">
        <v>14</v>
      </c>
      <c r="L48">
        <v>5</v>
      </c>
    </row>
    <row r="49" spans="1:12">
      <c r="A49" s="1">
        <v>44956</v>
      </c>
      <c r="B49" t="s">
        <v>15</v>
      </c>
      <c r="C49">
        <v>2500</v>
      </c>
      <c r="D49">
        <v>914.2857143</v>
      </c>
      <c r="E49">
        <v>714.2857143</v>
      </c>
      <c r="F49">
        <v>260</v>
      </c>
      <c r="G49">
        <v>0.76</v>
      </c>
      <c r="H49">
        <v>0.7</v>
      </c>
      <c r="I49">
        <v>0.86</v>
      </c>
      <c r="J49" t="s">
        <v>19</v>
      </c>
      <c r="K49" t="s">
        <v>20</v>
      </c>
      <c r="L49">
        <v>6</v>
      </c>
    </row>
    <row r="50" spans="1:12">
      <c r="A50" s="1">
        <v>44957</v>
      </c>
      <c r="B50" t="s">
        <v>12</v>
      </c>
      <c r="C50">
        <v>2500</v>
      </c>
      <c r="D50">
        <v>914.2857143</v>
      </c>
      <c r="E50">
        <v>714.2857143</v>
      </c>
      <c r="F50">
        <v>261</v>
      </c>
      <c r="G50">
        <v>0.91</v>
      </c>
      <c r="H50">
        <v>0.77</v>
      </c>
      <c r="I50">
        <v>0.75</v>
      </c>
      <c r="J50" t="s">
        <v>13</v>
      </c>
      <c r="K50" t="s">
        <v>23</v>
      </c>
      <c r="L50">
        <v>8</v>
      </c>
    </row>
    <row r="51" spans="1:12">
      <c r="A51" s="1">
        <v>45231</v>
      </c>
      <c r="B51" t="s">
        <v>12</v>
      </c>
      <c r="C51">
        <v>2500</v>
      </c>
      <c r="D51">
        <v>914.2857143</v>
      </c>
      <c r="E51">
        <v>714.2857143</v>
      </c>
      <c r="F51">
        <v>242</v>
      </c>
      <c r="G51">
        <v>0.79</v>
      </c>
      <c r="H51">
        <v>0.81</v>
      </c>
      <c r="I51">
        <v>0.74</v>
      </c>
      <c r="J51" t="s">
        <v>16</v>
      </c>
      <c r="K51" t="s">
        <v>25</v>
      </c>
      <c r="L51">
        <v>4</v>
      </c>
    </row>
    <row r="52" spans="1:12">
      <c r="A52" s="1">
        <v>45232</v>
      </c>
      <c r="B52" t="s">
        <v>12</v>
      </c>
      <c r="C52">
        <v>2250</v>
      </c>
      <c r="D52">
        <v>914.2857143</v>
      </c>
      <c r="E52">
        <v>714.2857143</v>
      </c>
      <c r="F52">
        <v>250</v>
      </c>
      <c r="G52">
        <v>0.85</v>
      </c>
      <c r="H52">
        <v>0.82</v>
      </c>
      <c r="I52">
        <v>0.73</v>
      </c>
      <c r="J52" t="s">
        <v>19</v>
      </c>
      <c r="K52" t="s">
        <v>14</v>
      </c>
      <c r="L52">
        <v>3</v>
      </c>
    </row>
    <row r="53" spans="1:12">
      <c r="A53" s="1">
        <v>45233</v>
      </c>
      <c r="B53" t="s">
        <v>12</v>
      </c>
      <c r="C53">
        <v>2500</v>
      </c>
      <c r="D53">
        <v>914.2857143</v>
      </c>
      <c r="E53">
        <v>714.2857143</v>
      </c>
      <c r="F53">
        <v>242</v>
      </c>
      <c r="G53">
        <v>0.88</v>
      </c>
      <c r="H53">
        <v>0.84</v>
      </c>
      <c r="I53">
        <v>0.75</v>
      </c>
      <c r="J53" t="s">
        <v>21</v>
      </c>
      <c r="K53" t="s">
        <v>17</v>
      </c>
      <c r="L53">
        <v>2</v>
      </c>
    </row>
    <row r="54" spans="1:12">
      <c r="A54" s="1">
        <v>45060</v>
      </c>
      <c r="B54" t="s">
        <v>12</v>
      </c>
      <c r="C54">
        <v>2500</v>
      </c>
      <c r="D54">
        <v>914.2857143</v>
      </c>
      <c r="E54">
        <v>714.2857143</v>
      </c>
      <c r="F54">
        <v>242</v>
      </c>
      <c r="G54">
        <v>0.81</v>
      </c>
      <c r="H54">
        <v>0.92</v>
      </c>
      <c r="I54">
        <v>0.91</v>
      </c>
      <c r="J54" t="s">
        <v>13</v>
      </c>
      <c r="K54" t="s">
        <v>20</v>
      </c>
      <c r="L54">
        <v>7</v>
      </c>
    </row>
    <row r="55" spans="1:12">
      <c r="A55" s="1">
        <v>45225</v>
      </c>
      <c r="B55" t="s">
        <v>18</v>
      </c>
      <c r="C55">
        <v>2500</v>
      </c>
      <c r="D55">
        <v>914.2857143</v>
      </c>
      <c r="E55">
        <v>714.2857143</v>
      </c>
      <c r="F55">
        <v>242</v>
      </c>
      <c r="G55">
        <v>0.84</v>
      </c>
      <c r="H55">
        <v>0.73</v>
      </c>
      <c r="I55">
        <v>0.99</v>
      </c>
      <c r="J55" t="s">
        <v>16</v>
      </c>
      <c r="K55" t="s">
        <v>23</v>
      </c>
      <c r="L55">
        <v>9</v>
      </c>
    </row>
    <row r="56" spans="1:12">
      <c r="A56" s="1">
        <v>44995</v>
      </c>
      <c r="B56" t="s">
        <v>18</v>
      </c>
      <c r="C56">
        <v>2500</v>
      </c>
      <c r="D56">
        <v>914.2857143</v>
      </c>
      <c r="E56">
        <v>714.2857143</v>
      </c>
      <c r="F56">
        <v>240</v>
      </c>
      <c r="G56">
        <v>0.93</v>
      </c>
      <c r="H56">
        <v>0.79</v>
      </c>
      <c r="I56">
        <v>0.72</v>
      </c>
      <c r="J56" t="s">
        <v>19</v>
      </c>
      <c r="K56" t="s">
        <v>25</v>
      </c>
      <c r="L56">
        <v>5</v>
      </c>
    </row>
    <row r="57" spans="1:12">
      <c r="A57" s="1">
        <v>45044</v>
      </c>
      <c r="B57" t="s">
        <v>18</v>
      </c>
      <c r="C57">
        <v>2500</v>
      </c>
      <c r="D57">
        <v>914.2857143</v>
      </c>
      <c r="E57">
        <v>714.2857143</v>
      </c>
      <c r="F57">
        <v>242</v>
      </c>
      <c r="G57">
        <v>0.84</v>
      </c>
      <c r="H57">
        <v>0.79</v>
      </c>
      <c r="I57">
        <v>0.8</v>
      </c>
      <c r="J57" t="s">
        <v>21</v>
      </c>
      <c r="K57" t="s">
        <v>14</v>
      </c>
      <c r="L57">
        <v>6</v>
      </c>
    </row>
    <row r="58" spans="1:12">
      <c r="A58" s="1">
        <v>44945</v>
      </c>
      <c r="B58" t="s">
        <v>18</v>
      </c>
      <c r="C58">
        <v>2200</v>
      </c>
      <c r="D58">
        <v>385.7142857</v>
      </c>
      <c r="E58">
        <v>285.7142857</v>
      </c>
      <c r="F58">
        <v>285</v>
      </c>
      <c r="G58">
        <v>0.85</v>
      </c>
      <c r="H58">
        <v>0.91</v>
      </c>
      <c r="I58">
        <v>0.84</v>
      </c>
      <c r="J58" t="s">
        <v>13</v>
      </c>
      <c r="K58" t="s">
        <v>17</v>
      </c>
      <c r="L58">
        <v>8</v>
      </c>
    </row>
    <row r="59" spans="1:12">
      <c r="A59" s="1">
        <v>45160</v>
      </c>
      <c r="B59" t="s">
        <v>15</v>
      </c>
      <c r="C59">
        <v>2150</v>
      </c>
      <c r="D59">
        <v>385.7142857</v>
      </c>
      <c r="E59">
        <v>285.7142857</v>
      </c>
      <c r="F59">
        <v>275</v>
      </c>
      <c r="G59">
        <v>0.86</v>
      </c>
      <c r="H59">
        <v>0.75</v>
      </c>
      <c r="I59">
        <v>0.96</v>
      </c>
      <c r="J59" t="s">
        <v>19</v>
      </c>
      <c r="K59" t="s">
        <v>20</v>
      </c>
      <c r="L59">
        <v>4</v>
      </c>
    </row>
    <row r="60" spans="1:12">
      <c r="A60" s="1">
        <v>45147</v>
      </c>
      <c r="B60" t="s">
        <v>24</v>
      </c>
      <c r="C60">
        <v>2400</v>
      </c>
      <c r="D60">
        <v>385.7142857</v>
      </c>
      <c r="E60">
        <v>285.7142857</v>
      </c>
      <c r="F60">
        <v>285</v>
      </c>
      <c r="G60">
        <v>0.96</v>
      </c>
      <c r="H60">
        <v>0.77</v>
      </c>
      <c r="I60">
        <v>0.92</v>
      </c>
      <c r="J60" t="s">
        <v>21</v>
      </c>
      <c r="K60" t="s">
        <v>23</v>
      </c>
      <c r="L60">
        <v>3</v>
      </c>
    </row>
    <row r="61" spans="1:12">
      <c r="A61" s="1">
        <v>45078</v>
      </c>
      <c r="B61" t="s">
        <v>18</v>
      </c>
      <c r="C61">
        <v>2450</v>
      </c>
      <c r="D61">
        <v>385.7142857</v>
      </c>
      <c r="E61">
        <v>285.7142857</v>
      </c>
      <c r="F61">
        <v>290</v>
      </c>
      <c r="G61">
        <v>0.99</v>
      </c>
      <c r="H61">
        <v>0.97</v>
      </c>
      <c r="I61">
        <v>0.73</v>
      </c>
      <c r="J61" t="s">
        <v>13</v>
      </c>
      <c r="K61" t="s">
        <v>25</v>
      </c>
      <c r="L61">
        <v>2</v>
      </c>
    </row>
    <row r="62" spans="1:12">
      <c r="A62" s="1">
        <v>44986</v>
      </c>
      <c r="B62" t="s">
        <v>15</v>
      </c>
      <c r="C62">
        <v>2500</v>
      </c>
      <c r="D62">
        <v>385.7142857</v>
      </c>
      <c r="E62">
        <v>285.7142857</v>
      </c>
      <c r="F62">
        <v>310</v>
      </c>
      <c r="G62">
        <v>0.77</v>
      </c>
      <c r="H62">
        <v>0.72</v>
      </c>
      <c r="I62">
        <v>0.85</v>
      </c>
      <c r="J62" t="s">
        <v>16</v>
      </c>
      <c r="K62" t="s">
        <v>14</v>
      </c>
      <c r="L62">
        <v>7</v>
      </c>
    </row>
    <row r="63" spans="1:12">
      <c r="A63" s="1">
        <v>45257</v>
      </c>
      <c r="B63" t="s">
        <v>24</v>
      </c>
      <c r="C63">
        <v>2450</v>
      </c>
      <c r="D63">
        <v>385.7142857</v>
      </c>
      <c r="E63">
        <v>285.7142857</v>
      </c>
      <c r="F63">
        <v>270</v>
      </c>
      <c r="G63">
        <v>0.77</v>
      </c>
      <c r="H63">
        <v>0.96</v>
      </c>
      <c r="I63">
        <v>0.78</v>
      </c>
      <c r="J63" t="s">
        <v>19</v>
      </c>
      <c r="K63" t="s">
        <v>17</v>
      </c>
      <c r="L63">
        <v>9</v>
      </c>
    </row>
    <row r="64" spans="1:12">
      <c r="A64" s="1">
        <v>45213</v>
      </c>
      <c r="B64" t="s">
        <v>18</v>
      </c>
      <c r="C64">
        <v>2400</v>
      </c>
      <c r="D64">
        <v>385.7142857</v>
      </c>
      <c r="E64">
        <v>285.7142857</v>
      </c>
      <c r="F64">
        <v>285</v>
      </c>
      <c r="G64">
        <v>0.78</v>
      </c>
      <c r="H64">
        <v>0.8</v>
      </c>
      <c r="I64">
        <v>0.85</v>
      </c>
      <c r="J64" t="s">
        <v>21</v>
      </c>
      <c r="K64" t="s">
        <v>20</v>
      </c>
      <c r="L64">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dimension ref="A1:N64"/>
  <sheetViews>
    <sheetView showGridLines="0" zoomScale="70" zoomScaleNormal="70" workbookViewId="0">
      <selection activeCell="Q6" sqref="Q6"/>
    </sheetView>
  </sheetViews>
  <sheetFormatPr defaultRowHeight="14.25"/>
  <cols>
    <col min="1" max="1" width="10.5" style="1" bestFit="1" customWidth="1"/>
    <col min="2" max="2" width="11.375" bestFit="1" customWidth="1"/>
    <col min="3" max="3" width="10" style="2" bestFit="1" customWidth="1"/>
    <col min="4" max="4" width="13" style="2" bestFit="1" customWidth="1"/>
    <col min="5" max="5" width="16.875" style="2" customWidth="1"/>
    <col min="6" max="6" width="20.625" bestFit="1" customWidth="1"/>
    <col min="7" max="7" width="27.25" bestFit="1" customWidth="1"/>
    <col min="8" max="8" width="27.125" bestFit="1" customWidth="1"/>
    <col min="9" max="9" width="31.25" bestFit="1" customWidth="1"/>
    <col min="10" max="10" width="12.125" bestFit="1" customWidth="1"/>
    <col min="11" max="11" width="26.75" bestFit="1" customWidth="1"/>
    <col min="12" max="12" width="10.25" bestFit="1" customWidth="1"/>
  </cols>
  <sheetData>
    <row r="1" spans="1:14">
      <c r="A1" s="1" t="s">
        <v>0</v>
      </c>
      <c r="B1" t="s">
        <v>1</v>
      </c>
      <c r="C1" s="2" t="s">
        <v>2</v>
      </c>
      <c r="D1" s="2" t="s">
        <v>3</v>
      </c>
      <c r="E1" s="2" t="s">
        <v>4</v>
      </c>
      <c r="F1" t="s">
        <v>5</v>
      </c>
      <c r="G1" t="s">
        <v>6</v>
      </c>
      <c r="H1" t="s">
        <v>7</v>
      </c>
      <c r="I1" t="s">
        <v>8</v>
      </c>
      <c r="J1" t="s">
        <v>9</v>
      </c>
      <c r="K1" t="s">
        <v>10</v>
      </c>
      <c r="L1" t="s">
        <v>11</v>
      </c>
      <c r="M1" t="s">
        <v>26</v>
      </c>
      <c r="N1" t="s">
        <v>27</v>
      </c>
    </row>
    <row r="2" spans="1:14">
      <c r="A2" s="1">
        <v>45060</v>
      </c>
      <c r="B2" t="s">
        <v>12</v>
      </c>
      <c r="C2" s="2">
        <v>2581</v>
      </c>
      <c r="D2" s="2">
        <v>2957.1428571428601</v>
      </c>
      <c r="E2" s="2">
        <v>5857</v>
      </c>
      <c r="F2">
        <v>80</v>
      </c>
      <c r="G2">
        <v>0.89</v>
      </c>
      <c r="H2">
        <v>0.85</v>
      </c>
      <c r="I2">
        <v>0.72</v>
      </c>
      <c r="J2" t="s">
        <v>13</v>
      </c>
      <c r="K2" t="s">
        <v>14</v>
      </c>
      <c r="L2">
        <v>8</v>
      </c>
      <c r="M2" t="str">
        <f>TEXT(Table2[[#This Row],[Date]], "mmm")</f>
        <v>May</v>
      </c>
      <c r="N2" t="str">
        <f>"Q"&amp;ROUNDUP(MONTH(Table2[[#This Row],[Date]])/3,0)</f>
        <v>Q2</v>
      </c>
    </row>
    <row r="3" spans="1:14">
      <c r="A3" s="1">
        <v>44983</v>
      </c>
      <c r="B3" t="s">
        <v>15</v>
      </c>
      <c r="C3" s="2">
        <v>3944</v>
      </c>
      <c r="D3" s="2">
        <v>2957.1428571428601</v>
      </c>
      <c r="E3" s="2">
        <v>5857</v>
      </c>
      <c r="F3">
        <v>30</v>
      </c>
      <c r="G3">
        <v>0.94</v>
      </c>
      <c r="H3">
        <v>0.95</v>
      </c>
      <c r="I3">
        <v>0.86</v>
      </c>
      <c r="J3" t="s">
        <v>16</v>
      </c>
      <c r="K3" t="s">
        <v>17</v>
      </c>
      <c r="L3">
        <v>4</v>
      </c>
      <c r="M3" t="str">
        <f>TEXT(Table2[[#This Row],[Date]], "mmm")</f>
        <v>Feb</v>
      </c>
      <c r="N3" t="str">
        <f>"Q"&amp;ROUNDUP(MONTH(Table2[[#This Row],[Date]])/3,0)</f>
        <v>Q1</v>
      </c>
    </row>
    <row r="4" spans="1:14">
      <c r="A4" s="1">
        <v>44984</v>
      </c>
      <c r="B4" t="s">
        <v>18</v>
      </c>
      <c r="C4" s="2">
        <v>3293</v>
      </c>
      <c r="D4" s="2">
        <v>2957.1428571428601</v>
      </c>
      <c r="E4" s="2">
        <v>5857</v>
      </c>
      <c r="F4">
        <v>15</v>
      </c>
      <c r="G4">
        <v>0.82</v>
      </c>
      <c r="H4">
        <v>0.8</v>
      </c>
      <c r="I4">
        <v>0.76</v>
      </c>
      <c r="J4" t="s">
        <v>19</v>
      </c>
      <c r="K4" t="s">
        <v>20</v>
      </c>
      <c r="L4">
        <v>3</v>
      </c>
      <c r="M4" t="str">
        <f>TEXT(Table2[[#This Row],[Date]], "mmm")</f>
        <v>Feb</v>
      </c>
      <c r="N4" t="str">
        <f>"Q"&amp;ROUNDUP(MONTH(Table2[[#This Row],[Date]])/3,0)</f>
        <v>Q1</v>
      </c>
    </row>
    <row r="5" spans="1:14">
      <c r="A5" s="1">
        <v>44985</v>
      </c>
      <c r="B5" t="s">
        <v>18</v>
      </c>
      <c r="C5" s="2">
        <v>2019</v>
      </c>
      <c r="D5" s="2">
        <v>2957.1428571428601</v>
      </c>
      <c r="E5" s="2">
        <v>5857</v>
      </c>
      <c r="F5">
        <v>40</v>
      </c>
      <c r="G5">
        <v>0.79</v>
      </c>
      <c r="H5">
        <v>0.79</v>
      </c>
      <c r="I5">
        <v>0.79</v>
      </c>
      <c r="J5" t="s">
        <v>21</v>
      </c>
      <c r="K5" t="s">
        <v>14</v>
      </c>
      <c r="L5">
        <v>2</v>
      </c>
      <c r="M5" t="str">
        <f>TEXT(Table2[[#This Row],[Date]], "mmm")</f>
        <v>Feb</v>
      </c>
      <c r="N5" t="str">
        <f>"Q"&amp;ROUNDUP(MONTH(Table2[[#This Row],[Date]])/3,0)</f>
        <v>Q1</v>
      </c>
    </row>
    <row r="6" spans="1:14">
      <c r="A6" s="1">
        <v>45228</v>
      </c>
      <c r="B6" t="s">
        <v>15</v>
      </c>
      <c r="C6" s="2">
        <v>2980</v>
      </c>
      <c r="D6" s="2">
        <v>2958</v>
      </c>
      <c r="E6" s="2">
        <v>5857</v>
      </c>
      <c r="F6">
        <v>100</v>
      </c>
      <c r="G6">
        <v>0.96</v>
      </c>
      <c r="H6">
        <v>0.79</v>
      </c>
      <c r="I6">
        <v>0.7</v>
      </c>
      <c r="J6" t="s">
        <v>22</v>
      </c>
      <c r="K6" t="s">
        <v>23</v>
      </c>
      <c r="L6">
        <v>7</v>
      </c>
      <c r="M6" t="str">
        <f>TEXT(Table2[[#This Row],[Date]], "mmm")</f>
        <v>Oct</v>
      </c>
      <c r="N6" t="str">
        <f>"Q"&amp;ROUNDUP(MONTH(Table2[[#This Row],[Date]])/3,0)</f>
        <v>Q4</v>
      </c>
    </row>
    <row r="7" spans="1:14">
      <c r="A7" s="1">
        <v>45229</v>
      </c>
      <c r="B7" t="s">
        <v>15</v>
      </c>
      <c r="C7" s="2">
        <v>2209</v>
      </c>
      <c r="D7" s="2">
        <v>2957.1428571428601</v>
      </c>
      <c r="E7" s="2">
        <v>5857</v>
      </c>
      <c r="F7">
        <v>15</v>
      </c>
      <c r="G7">
        <v>0.79</v>
      </c>
      <c r="H7">
        <v>0.79</v>
      </c>
      <c r="I7">
        <v>0.77</v>
      </c>
      <c r="J7" t="s">
        <v>22</v>
      </c>
      <c r="K7" t="s">
        <v>14</v>
      </c>
      <c r="L7">
        <v>9</v>
      </c>
      <c r="M7" t="str">
        <f>TEXT(Table2[[#This Row],[Date]], "mmm")</f>
        <v>Oct</v>
      </c>
      <c r="N7" t="str">
        <f>"Q"&amp;ROUNDUP(MONTH(Table2[[#This Row],[Date]])/3,0)</f>
        <v>Q4</v>
      </c>
    </row>
    <row r="8" spans="1:14">
      <c r="A8" s="1">
        <v>45230</v>
      </c>
      <c r="B8" t="s">
        <v>24</v>
      </c>
      <c r="C8" s="2">
        <v>2440</v>
      </c>
      <c r="D8" s="2">
        <v>2957.1428571428601</v>
      </c>
      <c r="E8" s="2">
        <v>5857</v>
      </c>
      <c r="F8">
        <v>20</v>
      </c>
      <c r="G8">
        <v>0.75</v>
      </c>
      <c r="H8">
        <v>0.72</v>
      </c>
      <c r="I8">
        <v>0.93</v>
      </c>
      <c r="J8" t="s">
        <v>22</v>
      </c>
      <c r="K8" t="s">
        <v>17</v>
      </c>
      <c r="L8">
        <v>5</v>
      </c>
      <c r="M8" t="str">
        <f>TEXT(Table2[[#This Row],[Date]], "mmm")</f>
        <v>Oct</v>
      </c>
      <c r="N8" t="str">
        <f>"Q"&amp;ROUNDUP(MONTH(Table2[[#This Row],[Date]])/3,0)</f>
        <v>Q4</v>
      </c>
    </row>
    <row r="9" spans="1:14">
      <c r="A9" s="1">
        <v>45231</v>
      </c>
      <c r="B9" t="s">
        <v>24</v>
      </c>
      <c r="C9" s="2">
        <v>2000</v>
      </c>
      <c r="D9" s="2">
        <v>1328.57142857143</v>
      </c>
      <c r="E9" s="2">
        <v>4428.5714285714303</v>
      </c>
      <c r="F9">
        <v>90</v>
      </c>
      <c r="G9">
        <v>0.92</v>
      </c>
      <c r="H9">
        <v>0.99</v>
      </c>
      <c r="I9">
        <v>0.74</v>
      </c>
      <c r="J9" t="s">
        <v>19</v>
      </c>
      <c r="K9" t="s">
        <v>17</v>
      </c>
      <c r="L9">
        <v>6</v>
      </c>
      <c r="M9" t="str">
        <f>TEXT(Table2[[#This Row],[Date]], "mmm")</f>
        <v>Nov</v>
      </c>
      <c r="N9" t="str">
        <f>"Q"&amp;ROUNDUP(MONTH(Table2[[#This Row],[Date]])/3,0)</f>
        <v>Q4</v>
      </c>
    </row>
    <row r="10" spans="1:14">
      <c r="A10" s="1">
        <v>45232</v>
      </c>
      <c r="B10" t="s">
        <v>24</v>
      </c>
      <c r="C10" s="2">
        <v>1431</v>
      </c>
      <c r="D10" s="2">
        <v>1328.57142857143</v>
      </c>
      <c r="E10" s="2">
        <v>4428.5714285714303</v>
      </c>
      <c r="F10">
        <v>30</v>
      </c>
      <c r="G10">
        <v>0.7</v>
      </c>
      <c r="H10">
        <v>0.99</v>
      </c>
      <c r="I10">
        <v>0.95</v>
      </c>
      <c r="J10" t="s">
        <v>19</v>
      </c>
      <c r="K10" t="s">
        <v>23</v>
      </c>
      <c r="L10">
        <v>8</v>
      </c>
      <c r="M10" t="str">
        <f>TEXT(Table2[[#This Row],[Date]], "mmm")</f>
        <v>Nov</v>
      </c>
      <c r="N10" t="str">
        <f>"Q"&amp;ROUNDUP(MONTH(Table2[[#This Row],[Date]])/3,0)</f>
        <v>Q4</v>
      </c>
    </row>
    <row r="11" spans="1:14">
      <c r="A11" s="1">
        <v>45233</v>
      </c>
      <c r="B11" t="s">
        <v>15</v>
      </c>
      <c r="C11" s="2">
        <v>3000</v>
      </c>
      <c r="D11" s="2">
        <v>1328.57142857143</v>
      </c>
      <c r="E11" s="2">
        <v>4428.5714285714303</v>
      </c>
      <c r="F11">
        <v>15</v>
      </c>
      <c r="G11">
        <v>0.91</v>
      </c>
      <c r="H11">
        <v>0.98</v>
      </c>
      <c r="I11">
        <v>0.89</v>
      </c>
      <c r="J11" t="s">
        <v>19</v>
      </c>
      <c r="K11" t="s">
        <v>23</v>
      </c>
      <c r="L11">
        <v>4</v>
      </c>
      <c r="M11" t="str">
        <f>TEXT(Table2[[#This Row],[Date]], "mmm")</f>
        <v>Nov</v>
      </c>
      <c r="N11" t="str">
        <f>"Q"&amp;ROUNDUP(MONTH(Table2[[#This Row],[Date]])/3,0)</f>
        <v>Q4</v>
      </c>
    </row>
    <row r="12" spans="1:14">
      <c r="A12" s="1">
        <v>45060</v>
      </c>
      <c r="B12" t="s">
        <v>15</v>
      </c>
      <c r="C12" s="2">
        <v>4000</v>
      </c>
      <c r="D12" s="2">
        <v>1328.57142857143</v>
      </c>
      <c r="E12" s="2">
        <v>4428.5714285714303</v>
      </c>
      <c r="F12">
        <v>40</v>
      </c>
      <c r="G12">
        <v>0.74</v>
      </c>
      <c r="H12">
        <v>0.85</v>
      </c>
      <c r="I12">
        <v>0.7</v>
      </c>
      <c r="J12" t="s">
        <v>19</v>
      </c>
      <c r="K12" t="s">
        <v>14</v>
      </c>
      <c r="L12">
        <v>3</v>
      </c>
      <c r="M12" t="str">
        <f>TEXT(Table2[[#This Row],[Date]], "mmm")</f>
        <v>May</v>
      </c>
      <c r="N12" t="str">
        <f>"Q"&amp;ROUNDUP(MONTH(Table2[[#This Row],[Date]])/3,0)</f>
        <v>Q2</v>
      </c>
    </row>
    <row r="13" spans="1:14">
      <c r="A13" s="1">
        <v>45225</v>
      </c>
      <c r="B13" t="s">
        <v>12</v>
      </c>
      <c r="C13" s="2">
        <v>1000</v>
      </c>
      <c r="D13" s="2">
        <v>1328.57142857143</v>
      </c>
      <c r="E13" s="2">
        <v>4428.5714285714303</v>
      </c>
      <c r="F13">
        <v>100</v>
      </c>
      <c r="G13">
        <v>0.9</v>
      </c>
      <c r="H13">
        <v>0.9</v>
      </c>
      <c r="I13">
        <v>0.72</v>
      </c>
      <c r="J13" t="s">
        <v>19</v>
      </c>
      <c r="K13" t="s">
        <v>17</v>
      </c>
      <c r="L13">
        <v>2</v>
      </c>
      <c r="M13" t="str">
        <f>TEXT(Table2[[#This Row],[Date]], "mmm")</f>
        <v>Oct</v>
      </c>
      <c r="N13" t="str">
        <f>"Q"&amp;ROUNDUP(MONTH(Table2[[#This Row],[Date]])/3,0)</f>
        <v>Q4</v>
      </c>
    </row>
    <row r="14" spans="1:14">
      <c r="A14" s="1">
        <v>44995</v>
      </c>
      <c r="B14" t="s">
        <v>12</v>
      </c>
      <c r="C14" s="2">
        <v>2000</v>
      </c>
      <c r="D14" s="2">
        <v>1328.57142857143</v>
      </c>
      <c r="E14" s="2">
        <v>4428.5714285714303</v>
      </c>
      <c r="F14">
        <v>15</v>
      </c>
      <c r="G14">
        <v>0.95</v>
      </c>
      <c r="H14">
        <v>0.97</v>
      </c>
      <c r="I14">
        <v>0.81</v>
      </c>
      <c r="J14" t="s">
        <v>19</v>
      </c>
      <c r="K14" t="s">
        <v>20</v>
      </c>
      <c r="L14">
        <v>7</v>
      </c>
      <c r="M14" t="str">
        <f>TEXT(Table2[[#This Row],[Date]], "mmm")</f>
        <v>Mar</v>
      </c>
      <c r="N14" t="str">
        <f>"Q"&amp;ROUNDUP(MONTH(Table2[[#This Row],[Date]])/3,0)</f>
        <v>Q1</v>
      </c>
    </row>
    <row r="15" spans="1:14">
      <c r="A15" s="1">
        <v>45044</v>
      </c>
      <c r="B15" t="s">
        <v>18</v>
      </c>
      <c r="C15" s="2">
        <v>2000</v>
      </c>
      <c r="D15" s="2">
        <v>1328.57142857143</v>
      </c>
      <c r="E15" s="2">
        <v>4428.5714285714303</v>
      </c>
      <c r="F15">
        <v>20</v>
      </c>
      <c r="G15">
        <v>0.99</v>
      </c>
      <c r="H15">
        <v>0.79</v>
      </c>
      <c r="I15">
        <v>0.75</v>
      </c>
      <c r="J15" t="s">
        <v>19</v>
      </c>
      <c r="K15" t="s">
        <v>23</v>
      </c>
      <c r="L15">
        <v>9</v>
      </c>
      <c r="M15" t="str">
        <f>TEXT(Table2[[#This Row],[Date]], "mmm")</f>
        <v>Apr</v>
      </c>
      <c r="N15" t="str">
        <f>"Q"&amp;ROUNDUP(MONTH(Table2[[#This Row],[Date]])/3,0)</f>
        <v>Q2</v>
      </c>
    </row>
    <row r="16" spans="1:14">
      <c r="A16" s="1">
        <v>45218</v>
      </c>
      <c r="B16" t="s">
        <v>18</v>
      </c>
      <c r="C16" s="2">
        <v>4000</v>
      </c>
      <c r="D16" s="2">
        <v>1328.57142857143</v>
      </c>
      <c r="E16" s="2">
        <v>1428.57142857143</v>
      </c>
      <c r="F16">
        <v>45</v>
      </c>
      <c r="G16">
        <v>0.86</v>
      </c>
      <c r="H16">
        <v>0.97</v>
      </c>
      <c r="I16">
        <v>0.89</v>
      </c>
      <c r="J16" t="s">
        <v>13</v>
      </c>
      <c r="K16" t="s">
        <v>25</v>
      </c>
      <c r="L16">
        <v>5</v>
      </c>
      <c r="M16" t="str">
        <f>TEXT(Table2[[#This Row],[Date]], "mmm")</f>
        <v>Oct</v>
      </c>
      <c r="N16" t="str">
        <f>"Q"&amp;ROUNDUP(MONTH(Table2[[#This Row],[Date]])/3,0)</f>
        <v>Q4</v>
      </c>
    </row>
    <row r="17" spans="1:14">
      <c r="A17" s="1">
        <v>45160</v>
      </c>
      <c r="B17" t="s">
        <v>12</v>
      </c>
      <c r="C17" s="2">
        <v>6000</v>
      </c>
      <c r="D17" s="2">
        <v>1328.57142857143</v>
      </c>
      <c r="E17" s="2">
        <v>1428.57142857143</v>
      </c>
      <c r="F17">
        <v>43</v>
      </c>
      <c r="G17">
        <v>0.83</v>
      </c>
      <c r="H17">
        <v>0.72</v>
      </c>
      <c r="I17">
        <v>0.74</v>
      </c>
      <c r="J17" t="s">
        <v>16</v>
      </c>
      <c r="K17" t="s">
        <v>14</v>
      </c>
      <c r="L17">
        <v>6</v>
      </c>
      <c r="M17" t="str">
        <f>TEXT(Table2[[#This Row],[Date]], "mmm")</f>
        <v>Aug</v>
      </c>
      <c r="N17" t="str">
        <f>"Q"&amp;ROUNDUP(MONTH(Table2[[#This Row],[Date]])/3,0)</f>
        <v>Q3</v>
      </c>
    </row>
    <row r="18" spans="1:14">
      <c r="A18" s="1">
        <v>45147</v>
      </c>
      <c r="B18" t="s">
        <v>15</v>
      </c>
      <c r="C18" s="2">
        <v>6500</v>
      </c>
      <c r="D18" s="2">
        <v>1328.57142857143</v>
      </c>
      <c r="E18" s="2">
        <v>1428.57142857143</v>
      </c>
      <c r="F18">
        <v>43</v>
      </c>
      <c r="G18">
        <v>0.74</v>
      </c>
      <c r="H18">
        <v>0.78</v>
      </c>
      <c r="I18">
        <v>0.94</v>
      </c>
      <c r="J18" t="s">
        <v>19</v>
      </c>
      <c r="K18" t="s">
        <v>17</v>
      </c>
      <c r="L18">
        <v>8</v>
      </c>
      <c r="M18" t="str">
        <f>TEXT(Table2[[#This Row],[Date]], "mmm")</f>
        <v>Aug</v>
      </c>
      <c r="N18" t="str">
        <f>"Q"&amp;ROUNDUP(MONTH(Table2[[#This Row],[Date]])/3,0)</f>
        <v>Q3</v>
      </c>
    </row>
    <row r="19" spans="1:14">
      <c r="A19" s="1">
        <v>45078</v>
      </c>
      <c r="B19" t="s">
        <v>24</v>
      </c>
      <c r="C19" s="2">
        <v>1200</v>
      </c>
      <c r="D19" s="2">
        <v>1328.57142857143</v>
      </c>
      <c r="E19" s="2">
        <v>1428.57142857143</v>
      </c>
      <c r="F19">
        <v>43</v>
      </c>
      <c r="G19">
        <v>0.8</v>
      </c>
      <c r="H19">
        <v>0.84</v>
      </c>
      <c r="I19">
        <v>0.81</v>
      </c>
      <c r="J19" t="s">
        <v>21</v>
      </c>
      <c r="K19" t="s">
        <v>17</v>
      </c>
      <c r="L19">
        <v>4</v>
      </c>
      <c r="M19" t="str">
        <f>TEXT(Table2[[#This Row],[Date]], "mmm")</f>
        <v>Jun</v>
      </c>
      <c r="N19" t="str">
        <f>"Q"&amp;ROUNDUP(MONTH(Table2[[#This Row],[Date]])/3,0)</f>
        <v>Q2</v>
      </c>
    </row>
    <row r="20" spans="1:14">
      <c r="A20" s="1">
        <v>44986</v>
      </c>
      <c r="B20" t="s">
        <v>24</v>
      </c>
      <c r="C20" s="2">
        <v>3000</v>
      </c>
      <c r="D20" s="2">
        <v>1328.57142857143</v>
      </c>
      <c r="E20" s="2">
        <v>1428.5714285714287</v>
      </c>
      <c r="F20">
        <v>43</v>
      </c>
      <c r="G20">
        <v>0.89</v>
      </c>
      <c r="H20">
        <v>0.99</v>
      </c>
      <c r="I20">
        <v>0.97</v>
      </c>
      <c r="J20" t="s">
        <v>13</v>
      </c>
      <c r="K20" t="s">
        <v>14</v>
      </c>
      <c r="L20">
        <v>3</v>
      </c>
      <c r="M20" t="str">
        <f>TEXT(Table2[[#This Row],[Date]], "mmm")</f>
        <v>Mar</v>
      </c>
      <c r="N20" t="str">
        <f>"Q"&amp;ROUNDUP(MONTH(Table2[[#This Row],[Date]])/3,0)</f>
        <v>Q1</v>
      </c>
    </row>
    <row r="21" spans="1:14">
      <c r="A21" s="1">
        <v>45257</v>
      </c>
      <c r="B21" t="s">
        <v>24</v>
      </c>
      <c r="C21" s="2">
        <v>2000</v>
      </c>
      <c r="D21" s="2">
        <v>1328.57142857143</v>
      </c>
      <c r="E21" s="2">
        <v>1428.5714285714287</v>
      </c>
      <c r="F21">
        <v>40</v>
      </c>
      <c r="G21">
        <v>0.71</v>
      </c>
      <c r="H21">
        <v>0.87</v>
      </c>
      <c r="I21">
        <v>0.94</v>
      </c>
      <c r="J21" t="s">
        <v>16</v>
      </c>
      <c r="K21" t="s">
        <v>25</v>
      </c>
      <c r="L21">
        <v>2</v>
      </c>
      <c r="M21" t="str">
        <f>TEXT(Table2[[#This Row],[Date]], "mmm")</f>
        <v>Nov</v>
      </c>
      <c r="N21" t="str">
        <f>"Q"&amp;ROUNDUP(MONTH(Table2[[#This Row],[Date]])/3,0)</f>
        <v>Q4</v>
      </c>
    </row>
    <row r="22" spans="1:14">
      <c r="A22" s="1">
        <v>45213</v>
      </c>
      <c r="B22" t="s">
        <v>24</v>
      </c>
      <c r="C22" s="2">
        <v>2000</v>
      </c>
      <c r="D22" s="2">
        <v>1328.57142857143</v>
      </c>
      <c r="E22" s="2">
        <v>1428.5714285714287</v>
      </c>
      <c r="F22">
        <v>43</v>
      </c>
      <c r="G22">
        <v>0.9</v>
      </c>
      <c r="H22">
        <v>0.72</v>
      </c>
      <c r="I22">
        <v>0.94</v>
      </c>
      <c r="J22" t="s">
        <v>19</v>
      </c>
      <c r="K22" t="s">
        <v>14</v>
      </c>
      <c r="L22">
        <v>7</v>
      </c>
      <c r="M22" t="str">
        <f>TEXT(Table2[[#This Row],[Date]], "mmm")</f>
        <v>Oct</v>
      </c>
      <c r="N22" t="str">
        <f>"Q"&amp;ROUNDUP(MONTH(Table2[[#This Row],[Date]])/3,0)</f>
        <v>Q4</v>
      </c>
    </row>
    <row r="23" spans="1:14">
      <c r="A23" s="1">
        <v>45098</v>
      </c>
      <c r="B23" t="s">
        <v>12</v>
      </c>
      <c r="C23" s="2">
        <v>3000</v>
      </c>
      <c r="D23" s="2">
        <v>5214.2857142857101</v>
      </c>
      <c r="E23" s="2">
        <v>6714.2857142857101</v>
      </c>
      <c r="F23">
        <v>100</v>
      </c>
      <c r="G23">
        <v>0.89</v>
      </c>
      <c r="H23">
        <v>0.85</v>
      </c>
      <c r="I23">
        <v>0.87</v>
      </c>
      <c r="J23" t="s">
        <v>21</v>
      </c>
      <c r="K23" t="s">
        <v>17</v>
      </c>
      <c r="L23">
        <v>9</v>
      </c>
      <c r="M23" t="str">
        <f>TEXT(Table2[[#This Row],[Date]], "mmm")</f>
        <v>Jun</v>
      </c>
      <c r="N23" t="str">
        <f>"Q"&amp;ROUNDUP(MONTH(Table2[[#This Row],[Date]])/3,0)</f>
        <v>Q2</v>
      </c>
    </row>
    <row r="24" spans="1:14">
      <c r="A24" s="1">
        <v>45130</v>
      </c>
      <c r="B24" t="s">
        <v>18</v>
      </c>
      <c r="C24" s="2">
        <v>4500</v>
      </c>
      <c r="D24" s="2">
        <v>5214.2857142857101</v>
      </c>
      <c r="E24" s="2">
        <v>6714.2857142857101</v>
      </c>
      <c r="F24">
        <v>100</v>
      </c>
      <c r="G24">
        <v>0.89</v>
      </c>
      <c r="H24">
        <v>0.8</v>
      </c>
      <c r="I24">
        <v>0.88</v>
      </c>
      <c r="J24" t="s">
        <v>13</v>
      </c>
      <c r="K24" t="s">
        <v>20</v>
      </c>
      <c r="L24">
        <v>5</v>
      </c>
      <c r="M24" t="str">
        <f>TEXT(Table2[[#This Row],[Date]], "mmm")</f>
        <v>Jul</v>
      </c>
      <c r="N24" t="str">
        <f>"Q"&amp;ROUNDUP(MONTH(Table2[[#This Row],[Date]])/3,0)</f>
        <v>Q3</v>
      </c>
    </row>
    <row r="25" spans="1:14">
      <c r="A25" s="1">
        <v>45127</v>
      </c>
      <c r="B25" t="s">
        <v>12</v>
      </c>
      <c r="C25" s="2">
        <v>5500</v>
      </c>
      <c r="D25" s="2">
        <v>1214.2857142857099</v>
      </c>
      <c r="E25" s="2">
        <v>6714.2857142857101</v>
      </c>
      <c r="F25">
        <v>100</v>
      </c>
      <c r="G25">
        <v>0.98</v>
      </c>
      <c r="H25">
        <v>0.99</v>
      </c>
      <c r="I25">
        <v>0.81</v>
      </c>
      <c r="J25" t="s">
        <v>19</v>
      </c>
      <c r="K25" t="s">
        <v>14</v>
      </c>
      <c r="L25">
        <v>6</v>
      </c>
      <c r="M25" t="str">
        <f>TEXT(Table2[[#This Row],[Date]], "mmm")</f>
        <v>Jul</v>
      </c>
      <c r="N25" t="str">
        <f>"Q"&amp;ROUNDUP(MONTH(Table2[[#This Row],[Date]])/3,0)</f>
        <v>Q3</v>
      </c>
    </row>
    <row r="26" spans="1:14">
      <c r="A26" s="1">
        <v>45129</v>
      </c>
      <c r="B26" t="s">
        <v>15</v>
      </c>
      <c r="C26" s="2">
        <v>1000</v>
      </c>
      <c r="D26" s="2">
        <v>5214.2857142857101</v>
      </c>
      <c r="E26" s="2">
        <v>6714.2857142857101</v>
      </c>
      <c r="F26">
        <v>100</v>
      </c>
      <c r="G26">
        <v>0.81</v>
      </c>
      <c r="H26">
        <v>0.91</v>
      </c>
      <c r="I26">
        <v>0.95</v>
      </c>
      <c r="J26" t="s">
        <v>21</v>
      </c>
      <c r="K26" t="s">
        <v>25</v>
      </c>
      <c r="L26">
        <v>8</v>
      </c>
      <c r="M26" t="str">
        <f>TEXT(Table2[[#This Row],[Date]], "mmm")</f>
        <v>Jul</v>
      </c>
      <c r="N26" t="str">
        <f>"Q"&amp;ROUNDUP(MONTH(Table2[[#This Row],[Date]])/3,0)</f>
        <v>Q3</v>
      </c>
    </row>
    <row r="27" spans="1:14">
      <c r="A27" s="1">
        <v>45018</v>
      </c>
      <c r="B27" t="s">
        <v>12</v>
      </c>
      <c r="C27" s="2">
        <v>2000</v>
      </c>
      <c r="D27" s="2">
        <v>5214.2857142857101</v>
      </c>
      <c r="E27" s="2">
        <v>6714.2857142857101</v>
      </c>
      <c r="F27">
        <v>100</v>
      </c>
      <c r="G27">
        <v>0.97</v>
      </c>
      <c r="H27">
        <v>0.85</v>
      </c>
      <c r="I27">
        <v>0.85</v>
      </c>
      <c r="J27" t="s">
        <v>13</v>
      </c>
      <c r="K27" t="s">
        <v>14</v>
      </c>
      <c r="L27">
        <v>4</v>
      </c>
      <c r="M27" t="str">
        <f>TEXT(Table2[[#This Row],[Date]], "mmm")</f>
        <v>Apr</v>
      </c>
      <c r="N27" t="str">
        <f>"Q"&amp;ROUNDUP(MONTH(Table2[[#This Row],[Date]])/3,0)</f>
        <v>Q2</v>
      </c>
    </row>
    <row r="28" spans="1:14">
      <c r="A28" s="1">
        <v>44979</v>
      </c>
      <c r="B28" t="s">
        <v>12</v>
      </c>
      <c r="C28" s="2">
        <v>2000</v>
      </c>
      <c r="D28" s="2">
        <v>5214.2857142857101</v>
      </c>
      <c r="E28" s="2">
        <v>6714.2857142857101</v>
      </c>
      <c r="F28">
        <v>100</v>
      </c>
      <c r="G28">
        <v>0.89</v>
      </c>
      <c r="H28">
        <v>0.94</v>
      </c>
      <c r="I28">
        <v>0.8</v>
      </c>
      <c r="J28" t="s">
        <v>16</v>
      </c>
      <c r="K28" t="s">
        <v>14</v>
      </c>
      <c r="L28">
        <v>3</v>
      </c>
      <c r="M28" t="str">
        <f>TEXT(Table2[[#This Row],[Date]], "mmm")</f>
        <v>Feb</v>
      </c>
      <c r="N28" t="str">
        <f>"Q"&amp;ROUNDUP(MONTH(Table2[[#This Row],[Date]])/3,0)</f>
        <v>Q1</v>
      </c>
    </row>
    <row r="29" spans="1:14">
      <c r="A29" s="1">
        <v>45179</v>
      </c>
      <c r="B29" t="s">
        <v>12</v>
      </c>
      <c r="C29" s="2">
        <v>2000</v>
      </c>
      <c r="D29" s="2">
        <v>5214.2857142857101</v>
      </c>
      <c r="E29" s="2">
        <v>6714.2857142857101</v>
      </c>
      <c r="F29">
        <v>100</v>
      </c>
      <c r="G29">
        <v>0.88</v>
      </c>
      <c r="H29">
        <v>0.94</v>
      </c>
      <c r="I29">
        <v>0.7</v>
      </c>
      <c r="J29" t="s">
        <v>19</v>
      </c>
      <c r="K29" t="s">
        <v>20</v>
      </c>
      <c r="L29">
        <v>2</v>
      </c>
      <c r="M29" t="str">
        <f>TEXT(Table2[[#This Row],[Date]], "mmm")</f>
        <v>Sep</v>
      </c>
      <c r="N29" t="str">
        <f>"Q"&amp;ROUNDUP(MONTH(Table2[[#This Row],[Date]])/3,0)</f>
        <v>Q3</v>
      </c>
    </row>
    <row r="30" spans="1:14">
      <c r="A30" s="1">
        <v>45275</v>
      </c>
      <c r="B30" t="s">
        <v>12</v>
      </c>
      <c r="C30" s="2">
        <v>2000</v>
      </c>
      <c r="D30" s="2">
        <v>2957.1428571428601</v>
      </c>
      <c r="E30" s="2">
        <v>2857.1428571428573</v>
      </c>
      <c r="F30">
        <v>90</v>
      </c>
      <c r="G30">
        <v>0.75</v>
      </c>
      <c r="H30">
        <v>0.77</v>
      </c>
      <c r="I30">
        <v>0.84</v>
      </c>
      <c r="J30" t="s">
        <v>21</v>
      </c>
      <c r="K30" t="s">
        <v>23</v>
      </c>
      <c r="L30">
        <v>7</v>
      </c>
      <c r="M30" t="str">
        <f>TEXT(Table2[[#This Row],[Date]], "mmm")</f>
        <v>Dec</v>
      </c>
      <c r="N30" t="str">
        <f>"Q"&amp;ROUNDUP(MONTH(Table2[[#This Row],[Date]])/3,0)</f>
        <v>Q4</v>
      </c>
    </row>
    <row r="31" spans="1:14">
      <c r="A31" s="1">
        <v>44997</v>
      </c>
      <c r="B31" t="s">
        <v>12</v>
      </c>
      <c r="C31" s="2">
        <v>1700</v>
      </c>
      <c r="D31" s="2">
        <v>2957.1428571428601</v>
      </c>
      <c r="E31" s="2">
        <v>2857.1428571428573</v>
      </c>
      <c r="F31">
        <v>80</v>
      </c>
      <c r="G31">
        <v>0.73</v>
      </c>
      <c r="H31">
        <v>0.96</v>
      </c>
      <c r="I31">
        <v>0.93</v>
      </c>
      <c r="J31" t="s">
        <v>21</v>
      </c>
      <c r="K31" t="s">
        <v>25</v>
      </c>
      <c r="L31">
        <v>4</v>
      </c>
      <c r="M31" t="str">
        <f>TEXT(Table2[[#This Row],[Date]], "mmm")</f>
        <v>Mar</v>
      </c>
      <c r="N31" t="str">
        <f>"Q"&amp;ROUNDUP(MONTH(Table2[[#This Row],[Date]])/3,0)</f>
        <v>Q1</v>
      </c>
    </row>
    <row r="32" spans="1:14">
      <c r="A32" s="1">
        <v>45179</v>
      </c>
      <c r="B32" t="s">
        <v>12</v>
      </c>
      <c r="C32" s="2">
        <v>1600</v>
      </c>
      <c r="D32" s="2">
        <v>2957.1428571428601</v>
      </c>
      <c r="E32" s="2">
        <v>2857.1428571428573</v>
      </c>
      <c r="F32">
        <v>90</v>
      </c>
      <c r="G32">
        <v>0.93</v>
      </c>
      <c r="H32">
        <v>0.74</v>
      </c>
      <c r="I32">
        <v>0.93</v>
      </c>
      <c r="J32" t="s">
        <v>19</v>
      </c>
      <c r="K32" t="s">
        <v>14</v>
      </c>
      <c r="L32">
        <v>5</v>
      </c>
      <c r="M32" t="str">
        <f>TEXT(Table2[[#This Row],[Date]], "mmm")</f>
        <v>Sep</v>
      </c>
      <c r="N32" t="str">
        <f>"Q"&amp;ROUNDUP(MONTH(Table2[[#This Row],[Date]])/3,0)</f>
        <v>Q3</v>
      </c>
    </row>
    <row r="33" spans="1:14">
      <c r="A33" s="1">
        <v>44928</v>
      </c>
      <c r="B33" t="s">
        <v>15</v>
      </c>
      <c r="C33" s="2">
        <v>1200</v>
      </c>
      <c r="D33" s="2">
        <v>2957.1428571428601</v>
      </c>
      <c r="E33" s="2">
        <v>2857.1428571428573</v>
      </c>
      <c r="F33">
        <v>110</v>
      </c>
      <c r="G33">
        <v>0.85</v>
      </c>
      <c r="H33">
        <v>0.7</v>
      </c>
      <c r="I33">
        <v>0.99</v>
      </c>
      <c r="J33" t="s">
        <v>21</v>
      </c>
      <c r="K33" t="s">
        <v>17</v>
      </c>
      <c r="L33">
        <v>6</v>
      </c>
      <c r="M33" t="str">
        <f>TEXT(Table2[[#This Row],[Date]], "mmm")</f>
        <v>Jan</v>
      </c>
      <c r="N33" t="str">
        <f>"Q"&amp;ROUNDUP(MONTH(Table2[[#This Row],[Date]])/3,0)</f>
        <v>Q1</v>
      </c>
    </row>
    <row r="34" spans="1:14">
      <c r="A34" s="1">
        <v>45227</v>
      </c>
      <c r="B34" t="s">
        <v>18</v>
      </c>
      <c r="C34" s="2">
        <v>2500</v>
      </c>
      <c r="D34" s="2">
        <v>2957.1428571428601</v>
      </c>
      <c r="E34" s="2">
        <v>2857.1428571428573</v>
      </c>
      <c r="F34">
        <v>90</v>
      </c>
      <c r="G34">
        <v>0.92</v>
      </c>
      <c r="H34">
        <v>0.99</v>
      </c>
      <c r="I34">
        <v>0.88</v>
      </c>
      <c r="J34" t="s">
        <v>13</v>
      </c>
      <c r="K34" t="s">
        <v>20</v>
      </c>
      <c r="L34">
        <v>8</v>
      </c>
      <c r="M34" t="str">
        <f>TEXT(Table2[[#This Row],[Date]], "mmm")</f>
        <v>Oct</v>
      </c>
      <c r="N34" t="str">
        <f>"Q"&amp;ROUNDUP(MONTH(Table2[[#This Row],[Date]])/3,0)</f>
        <v>Q4</v>
      </c>
    </row>
    <row r="35" spans="1:14">
      <c r="A35" s="1">
        <v>45103</v>
      </c>
      <c r="B35" t="s">
        <v>18</v>
      </c>
      <c r="C35" s="2">
        <v>2100</v>
      </c>
      <c r="D35" s="2">
        <v>2957.1428571428601</v>
      </c>
      <c r="E35" s="2">
        <v>2857.1428571428573</v>
      </c>
      <c r="F35">
        <v>100</v>
      </c>
      <c r="G35">
        <v>0.75</v>
      </c>
      <c r="H35">
        <v>0.97</v>
      </c>
      <c r="I35">
        <v>0.83</v>
      </c>
      <c r="J35" t="s">
        <v>16</v>
      </c>
      <c r="K35" t="s">
        <v>23</v>
      </c>
      <c r="L35">
        <v>4</v>
      </c>
      <c r="M35" t="str">
        <f>TEXT(Table2[[#This Row],[Date]], "mmm")</f>
        <v>Jun</v>
      </c>
      <c r="N35" t="str">
        <f>"Q"&amp;ROUNDUP(MONTH(Table2[[#This Row],[Date]])/3,0)</f>
        <v>Q2</v>
      </c>
    </row>
    <row r="36" spans="1:14">
      <c r="A36" s="1">
        <v>45243</v>
      </c>
      <c r="B36" t="s">
        <v>18</v>
      </c>
      <c r="C36" s="2">
        <v>2150</v>
      </c>
      <c r="D36" s="2">
        <v>2957.1428571428601</v>
      </c>
      <c r="E36" s="2">
        <v>2857.1428571428573</v>
      </c>
      <c r="F36">
        <v>90</v>
      </c>
      <c r="G36">
        <v>0.77</v>
      </c>
      <c r="H36">
        <v>0.97</v>
      </c>
      <c r="I36">
        <v>0.78</v>
      </c>
      <c r="J36" t="s">
        <v>13</v>
      </c>
      <c r="K36" t="s">
        <v>25</v>
      </c>
      <c r="L36">
        <v>3</v>
      </c>
      <c r="M36" t="str">
        <f>TEXT(Table2[[#This Row],[Date]], "mmm")</f>
        <v>Nov</v>
      </c>
      <c r="N36" t="str">
        <f>"Q"&amp;ROUNDUP(MONTH(Table2[[#This Row],[Date]])/3,0)</f>
        <v>Q4</v>
      </c>
    </row>
    <row r="37" spans="1:14">
      <c r="A37" s="1">
        <v>45107</v>
      </c>
      <c r="B37" t="s">
        <v>18</v>
      </c>
      <c r="C37" s="2">
        <v>2200</v>
      </c>
      <c r="D37" s="2">
        <v>757.142857142857</v>
      </c>
      <c r="E37" s="2">
        <v>857.14285714285711</v>
      </c>
      <c r="F37">
        <v>228</v>
      </c>
      <c r="G37">
        <v>0.79</v>
      </c>
      <c r="H37">
        <v>0.75</v>
      </c>
      <c r="I37">
        <v>0.93</v>
      </c>
      <c r="J37" t="s">
        <v>16</v>
      </c>
      <c r="K37" t="s">
        <v>14</v>
      </c>
      <c r="L37">
        <v>2</v>
      </c>
      <c r="M37" t="str">
        <f>TEXT(Table2[[#This Row],[Date]], "mmm")</f>
        <v>Jun</v>
      </c>
      <c r="N37" t="str">
        <f>"Q"&amp;ROUNDUP(MONTH(Table2[[#This Row],[Date]])/3,0)</f>
        <v>Q2</v>
      </c>
    </row>
    <row r="38" spans="1:14">
      <c r="A38" s="1">
        <v>45030</v>
      </c>
      <c r="B38" t="s">
        <v>15</v>
      </c>
      <c r="C38" s="2">
        <v>1800</v>
      </c>
      <c r="D38" s="2">
        <v>757.142857142857</v>
      </c>
      <c r="E38" s="2">
        <v>857.14285714285711</v>
      </c>
      <c r="F38">
        <v>220</v>
      </c>
      <c r="G38">
        <v>0.81</v>
      </c>
      <c r="H38">
        <v>0.98</v>
      </c>
      <c r="I38">
        <v>0.86</v>
      </c>
      <c r="J38" t="s">
        <v>19</v>
      </c>
      <c r="K38" t="s">
        <v>17</v>
      </c>
      <c r="L38">
        <v>7</v>
      </c>
      <c r="M38" t="str">
        <f>TEXT(Table2[[#This Row],[Date]], "mmm")</f>
        <v>Apr</v>
      </c>
      <c r="N38" t="str">
        <f>"Q"&amp;ROUNDUP(MONTH(Table2[[#This Row],[Date]])/3,0)</f>
        <v>Q2</v>
      </c>
    </row>
    <row r="39" spans="1:14">
      <c r="A39" s="1">
        <v>45266</v>
      </c>
      <c r="B39" t="s">
        <v>24</v>
      </c>
      <c r="C39" s="2">
        <v>1800</v>
      </c>
      <c r="D39" s="2">
        <v>757.142857142857</v>
      </c>
      <c r="E39" s="2">
        <v>857.14285714285711</v>
      </c>
      <c r="F39">
        <v>228</v>
      </c>
      <c r="G39">
        <v>0.86</v>
      </c>
      <c r="H39">
        <v>0.82</v>
      </c>
      <c r="I39">
        <v>0.86</v>
      </c>
      <c r="J39" t="s">
        <v>21</v>
      </c>
      <c r="K39" t="s">
        <v>20</v>
      </c>
      <c r="L39">
        <v>9</v>
      </c>
      <c r="M39" t="str">
        <f>TEXT(Table2[[#This Row],[Date]], "mmm")</f>
        <v>Dec</v>
      </c>
      <c r="N39" t="str">
        <f>"Q"&amp;ROUNDUP(MONTH(Table2[[#This Row],[Date]])/3,0)</f>
        <v>Q4</v>
      </c>
    </row>
    <row r="40" spans="1:14">
      <c r="A40" s="1">
        <v>45054</v>
      </c>
      <c r="B40" t="s">
        <v>12</v>
      </c>
      <c r="C40" s="2">
        <v>1414</v>
      </c>
      <c r="D40" s="2">
        <v>757.142857142857</v>
      </c>
      <c r="E40" s="2">
        <v>857.14285714285711</v>
      </c>
      <c r="F40">
        <v>238</v>
      </c>
      <c r="G40">
        <v>0.72</v>
      </c>
      <c r="H40">
        <v>0.95</v>
      </c>
      <c r="I40">
        <v>0.9</v>
      </c>
      <c r="J40" t="s">
        <v>22</v>
      </c>
      <c r="K40" t="s">
        <v>23</v>
      </c>
      <c r="L40">
        <v>5</v>
      </c>
      <c r="M40" t="str">
        <f>TEXT(Table2[[#This Row],[Date]], "mmm")</f>
        <v>May</v>
      </c>
      <c r="N40" t="str">
        <f>"Q"&amp;ROUNDUP(MONTH(Table2[[#This Row],[Date]])/3,0)</f>
        <v>Q2</v>
      </c>
    </row>
    <row r="41" spans="1:14">
      <c r="A41" s="1">
        <v>45019</v>
      </c>
      <c r="B41" t="s">
        <v>18</v>
      </c>
      <c r="C41" s="2">
        <v>2100</v>
      </c>
      <c r="D41" s="2">
        <v>757.142857142857</v>
      </c>
      <c r="E41" s="2">
        <v>857.14285714285711</v>
      </c>
      <c r="F41">
        <v>228</v>
      </c>
      <c r="G41">
        <v>0.71</v>
      </c>
      <c r="H41">
        <v>0.8</v>
      </c>
      <c r="I41">
        <v>0.76</v>
      </c>
      <c r="J41" t="s">
        <v>22</v>
      </c>
      <c r="K41" t="s">
        <v>25</v>
      </c>
      <c r="L41">
        <v>5</v>
      </c>
      <c r="M41" t="str">
        <f>TEXT(Table2[[#This Row],[Date]], "mmm")</f>
        <v>Apr</v>
      </c>
      <c r="N41" t="str">
        <f>"Q"&amp;ROUNDUP(MONTH(Table2[[#This Row],[Date]])/3,0)</f>
        <v>Q2</v>
      </c>
    </row>
    <row r="42" spans="1:14">
      <c r="A42" s="1">
        <v>45078</v>
      </c>
      <c r="B42" t="s">
        <v>18</v>
      </c>
      <c r="C42" s="2">
        <v>2500</v>
      </c>
      <c r="D42" s="2">
        <v>757.142857142857</v>
      </c>
      <c r="E42" s="2">
        <v>857.14285714285711</v>
      </c>
      <c r="F42">
        <v>230</v>
      </c>
      <c r="G42">
        <v>0.97</v>
      </c>
      <c r="H42">
        <v>0.95</v>
      </c>
      <c r="I42">
        <v>0.85</v>
      </c>
      <c r="J42" t="s">
        <v>22</v>
      </c>
      <c r="K42" t="s">
        <v>14</v>
      </c>
      <c r="L42">
        <v>8</v>
      </c>
      <c r="M42" t="str">
        <f>TEXT(Table2[[#This Row],[Date]], "mmm")</f>
        <v>Jun</v>
      </c>
      <c r="N42" t="str">
        <f>"Q"&amp;ROUNDUP(MONTH(Table2[[#This Row],[Date]])/3,0)</f>
        <v>Q2</v>
      </c>
    </row>
    <row r="43" spans="1:14">
      <c r="A43" s="1">
        <v>45233</v>
      </c>
      <c r="B43" t="s">
        <v>24</v>
      </c>
      <c r="C43" s="2">
        <v>2200</v>
      </c>
      <c r="D43" s="2">
        <v>757.142857142857</v>
      </c>
      <c r="E43" s="2">
        <v>857.14285714285711</v>
      </c>
      <c r="F43">
        <v>228</v>
      </c>
      <c r="G43">
        <v>0.95</v>
      </c>
      <c r="H43">
        <v>0.85</v>
      </c>
      <c r="I43">
        <v>0.91</v>
      </c>
      <c r="J43" t="s">
        <v>19</v>
      </c>
      <c r="K43" t="s">
        <v>17</v>
      </c>
      <c r="L43">
        <v>4</v>
      </c>
      <c r="M43" t="str">
        <f>TEXT(Table2[[#This Row],[Date]], "mmm")</f>
        <v>Nov</v>
      </c>
      <c r="N43" t="str">
        <f>"Q"&amp;ROUNDUP(MONTH(Table2[[#This Row],[Date]])/3,0)</f>
        <v>Q4</v>
      </c>
    </row>
    <row r="44" spans="1:14">
      <c r="A44" s="1">
        <v>45060</v>
      </c>
      <c r="B44" t="s">
        <v>12</v>
      </c>
      <c r="C44" s="2">
        <v>2500</v>
      </c>
      <c r="D44" s="2">
        <v>914.28571428571399</v>
      </c>
      <c r="E44" s="2">
        <v>714.28571428571433</v>
      </c>
      <c r="F44">
        <v>250</v>
      </c>
      <c r="G44">
        <v>0.97</v>
      </c>
      <c r="H44">
        <v>0.7</v>
      </c>
      <c r="I44">
        <v>0.93</v>
      </c>
      <c r="J44" t="s">
        <v>19</v>
      </c>
      <c r="K44" t="s">
        <v>20</v>
      </c>
      <c r="L44">
        <v>3</v>
      </c>
      <c r="M44" t="str">
        <f>TEXT(Table2[[#This Row],[Date]], "mmm")</f>
        <v>May</v>
      </c>
      <c r="N44" t="str">
        <f>"Q"&amp;ROUNDUP(MONTH(Table2[[#This Row],[Date]])/3,0)</f>
        <v>Q2</v>
      </c>
    </row>
    <row r="45" spans="1:14">
      <c r="A45" s="1">
        <v>45225</v>
      </c>
      <c r="B45" t="s">
        <v>18</v>
      </c>
      <c r="C45" s="2">
        <v>2200</v>
      </c>
      <c r="D45" s="2">
        <v>914.28571428571399</v>
      </c>
      <c r="E45" s="2">
        <v>714.28571428571433</v>
      </c>
      <c r="F45">
        <v>240</v>
      </c>
      <c r="G45">
        <v>0.9</v>
      </c>
      <c r="H45">
        <v>0.98</v>
      </c>
      <c r="I45">
        <v>0.96</v>
      </c>
      <c r="J45" t="s">
        <v>19</v>
      </c>
      <c r="K45" t="s">
        <v>23</v>
      </c>
      <c r="L45">
        <v>2</v>
      </c>
      <c r="M45" t="str">
        <f>TEXT(Table2[[#This Row],[Date]], "mmm")</f>
        <v>Oct</v>
      </c>
      <c r="N45" t="str">
        <f>"Q"&amp;ROUNDUP(MONTH(Table2[[#This Row],[Date]])/3,0)</f>
        <v>Q4</v>
      </c>
    </row>
    <row r="46" spans="1:14">
      <c r="A46" s="1">
        <v>45226</v>
      </c>
      <c r="B46" t="s">
        <v>12</v>
      </c>
      <c r="C46" s="2">
        <v>2500</v>
      </c>
      <c r="D46" s="2">
        <v>914.28571428571399</v>
      </c>
      <c r="E46" s="2">
        <v>714.28571428571433</v>
      </c>
      <c r="F46">
        <v>270</v>
      </c>
      <c r="G46">
        <v>0.9</v>
      </c>
      <c r="H46">
        <v>0.95</v>
      </c>
      <c r="I46">
        <v>0.98</v>
      </c>
      <c r="J46" t="s">
        <v>19</v>
      </c>
      <c r="K46" t="s">
        <v>25</v>
      </c>
      <c r="L46">
        <v>3</v>
      </c>
      <c r="M46" t="str">
        <f>TEXT(Table2[[#This Row],[Date]], "mmm")</f>
        <v>Oct</v>
      </c>
      <c r="N46" t="str">
        <f>"Q"&amp;ROUNDUP(MONTH(Table2[[#This Row],[Date]])/3,0)</f>
        <v>Q4</v>
      </c>
    </row>
    <row r="47" spans="1:14">
      <c r="A47" s="1">
        <v>44954</v>
      </c>
      <c r="B47" t="s">
        <v>15</v>
      </c>
      <c r="C47" s="2">
        <v>2000</v>
      </c>
      <c r="D47" s="2">
        <v>914.28571428571399</v>
      </c>
      <c r="E47" s="2">
        <v>714.28571428571433</v>
      </c>
      <c r="F47">
        <v>259</v>
      </c>
      <c r="G47">
        <v>0.96</v>
      </c>
      <c r="H47">
        <v>0.81</v>
      </c>
      <c r="I47">
        <v>0.85</v>
      </c>
      <c r="J47" t="s">
        <v>19</v>
      </c>
      <c r="K47" t="s">
        <v>14</v>
      </c>
      <c r="L47">
        <v>9</v>
      </c>
      <c r="M47" t="str">
        <f>TEXT(Table2[[#This Row],[Date]], "mmm")</f>
        <v>Jan</v>
      </c>
      <c r="N47" t="str">
        <f>"Q"&amp;ROUNDUP(MONTH(Table2[[#This Row],[Date]])/3,0)</f>
        <v>Q1</v>
      </c>
    </row>
    <row r="48" spans="1:14">
      <c r="A48" s="1">
        <v>44955</v>
      </c>
      <c r="B48" t="s">
        <v>15</v>
      </c>
      <c r="C48" s="2">
        <v>2500</v>
      </c>
      <c r="D48" s="2">
        <v>914.28571428571399</v>
      </c>
      <c r="E48" s="2">
        <v>714.28571428571433</v>
      </c>
      <c r="F48">
        <v>260</v>
      </c>
      <c r="G48">
        <v>0.98</v>
      </c>
      <c r="H48">
        <v>0.84</v>
      </c>
      <c r="I48">
        <v>0.89</v>
      </c>
      <c r="J48" t="s">
        <v>19</v>
      </c>
      <c r="K48" t="s">
        <v>14</v>
      </c>
      <c r="L48">
        <v>5</v>
      </c>
      <c r="M48" t="str">
        <f>TEXT(Table2[[#This Row],[Date]], "mmm")</f>
        <v>Jan</v>
      </c>
      <c r="N48" t="str">
        <f>"Q"&amp;ROUNDUP(MONTH(Table2[[#This Row],[Date]])/3,0)</f>
        <v>Q1</v>
      </c>
    </row>
    <row r="49" spans="1:14">
      <c r="A49" s="1">
        <v>44956</v>
      </c>
      <c r="B49" t="s">
        <v>15</v>
      </c>
      <c r="C49" s="2">
        <v>2500</v>
      </c>
      <c r="D49" s="2">
        <v>914.28571428571399</v>
      </c>
      <c r="E49" s="2">
        <v>714.28571428571433</v>
      </c>
      <c r="F49">
        <v>260</v>
      </c>
      <c r="G49">
        <v>0.76</v>
      </c>
      <c r="H49">
        <v>0.7</v>
      </c>
      <c r="I49">
        <v>0.86</v>
      </c>
      <c r="J49" t="s">
        <v>19</v>
      </c>
      <c r="K49" t="s">
        <v>20</v>
      </c>
      <c r="L49">
        <v>6</v>
      </c>
      <c r="M49" t="str">
        <f>TEXT(Table2[[#This Row],[Date]], "mmm")</f>
        <v>Jan</v>
      </c>
      <c r="N49" t="str">
        <f>"Q"&amp;ROUNDUP(MONTH(Table2[[#This Row],[Date]])/3,0)</f>
        <v>Q1</v>
      </c>
    </row>
    <row r="50" spans="1:14">
      <c r="A50" s="1">
        <v>44957</v>
      </c>
      <c r="B50" t="s">
        <v>12</v>
      </c>
      <c r="C50" s="2">
        <v>2500</v>
      </c>
      <c r="D50" s="2">
        <v>914.28571428571399</v>
      </c>
      <c r="E50" s="2">
        <v>714.28571428571433</v>
      </c>
      <c r="F50">
        <v>261</v>
      </c>
      <c r="G50">
        <v>0.91</v>
      </c>
      <c r="H50">
        <v>0.77</v>
      </c>
      <c r="I50">
        <v>0.75</v>
      </c>
      <c r="J50" t="s">
        <v>13</v>
      </c>
      <c r="K50" t="s">
        <v>23</v>
      </c>
      <c r="L50">
        <v>8</v>
      </c>
      <c r="M50" t="str">
        <f>TEXT(Table2[[#This Row],[Date]], "mmm")</f>
        <v>Jan</v>
      </c>
      <c r="N50" t="str">
        <f>"Q"&amp;ROUNDUP(MONTH(Table2[[#This Row],[Date]])/3,0)</f>
        <v>Q1</v>
      </c>
    </row>
    <row r="51" spans="1:14">
      <c r="A51" s="1">
        <v>45231</v>
      </c>
      <c r="B51" t="s">
        <v>12</v>
      </c>
      <c r="C51" s="2">
        <v>2500</v>
      </c>
      <c r="D51" s="2">
        <v>914.28571428571399</v>
      </c>
      <c r="E51" s="2">
        <v>714.28571428571433</v>
      </c>
      <c r="F51">
        <v>242</v>
      </c>
      <c r="G51">
        <v>0.79</v>
      </c>
      <c r="H51">
        <v>0.81</v>
      </c>
      <c r="I51">
        <v>0.74</v>
      </c>
      <c r="J51" t="s">
        <v>16</v>
      </c>
      <c r="K51" t="s">
        <v>25</v>
      </c>
      <c r="L51">
        <v>4</v>
      </c>
      <c r="M51" t="str">
        <f>TEXT(Table2[[#This Row],[Date]], "mmm")</f>
        <v>Nov</v>
      </c>
      <c r="N51" t="str">
        <f>"Q"&amp;ROUNDUP(MONTH(Table2[[#This Row],[Date]])/3,0)</f>
        <v>Q4</v>
      </c>
    </row>
    <row r="52" spans="1:14">
      <c r="A52" s="1">
        <v>45232</v>
      </c>
      <c r="B52" t="s">
        <v>12</v>
      </c>
      <c r="C52" s="2">
        <v>2250</v>
      </c>
      <c r="D52" s="2">
        <v>914.28571428571399</v>
      </c>
      <c r="E52" s="2">
        <v>714.28571428571433</v>
      </c>
      <c r="F52">
        <v>250</v>
      </c>
      <c r="G52">
        <v>0.85</v>
      </c>
      <c r="H52">
        <v>0.82</v>
      </c>
      <c r="I52">
        <v>0.73</v>
      </c>
      <c r="J52" t="s">
        <v>19</v>
      </c>
      <c r="K52" t="s">
        <v>14</v>
      </c>
      <c r="L52">
        <v>3</v>
      </c>
      <c r="M52" t="str">
        <f>TEXT(Table2[[#This Row],[Date]], "mmm")</f>
        <v>Nov</v>
      </c>
      <c r="N52" t="str">
        <f>"Q"&amp;ROUNDUP(MONTH(Table2[[#This Row],[Date]])/3,0)</f>
        <v>Q4</v>
      </c>
    </row>
    <row r="53" spans="1:14">
      <c r="A53" s="1">
        <v>45233</v>
      </c>
      <c r="B53" t="s">
        <v>12</v>
      </c>
      <c r="C53" s="2">
        <v>2500</v>
      </c>
      <c r="D53" s="2">
        <v>914.28571428571399</v>
      </c>
      <c r="E53" s="2">
        <v>714.28571428571433</v>
      </c>
      <c r="F53">
        <v>242</v>
      </c>
      <c r="G53">
        <v>0.88</v>
      </c>
      <c r="H53">
        <v>0.84</v>
      </c>
      <c r="I53">
        <v>0.75</v>
      </c>
      <c r="J53" t="s">
        <v>21</v>
      </c>
      <c r="K53" t="s">
        <v>17</v>
      </c>
      <c r="L53">
        <v>2</v>
      </c>
      <c r="M53" t="str">
        <f>TEXT(Table2[[#This Row],[Date]], "mmm")</f>
        <v>Nov</v>
      </c>
      <c r="N53" t="str">
        <f>"Q"&amp;ROUNDUP(MONTH(Table2[[#This Row],[Date]])/3,0)</f>
        <v>Q4</v>
      </c>
    </row>
    <row r="54" spans="1:14">
      <c r="A54" s="1">
        <v>45060</v>
      </c>
      <c r="B54" t="s">
        <v>12</v>
      </c>
      <c r="C54" s="2">
        <v>2500</v>
      </c>
      <c r="D54" s="2">
        <v>914.28571428571399</v>
      </c>
      <c r="E54" s="2">
        <v>714.28571428571433</v>
      </c>
      <c r="F54">
        <v>242</v>
      </c>
      <c r="G54">
        <v>0.81</v>
      </c>
      <c r="H54">
        <v>0.92</v>
      </c>
      <c r="I54">
        <v>0.91</v>
      </c>
      <c r="J54" t="s">
        <v>13</v>
      </c>
      <c r="K54" t="s">
        <v>20</v>
      </c>
      <c r="L54">
        <v>7</v>
      </c>
      <c r="M54" t="str">
        <f>TEXT(Table2[[#This Row],[Date]], "mmm")</f>
        <v>May</v>
      </c>
      <c r="N54" t="str">
        <f>"Q"&amp;ROUNDUP(MONTH(Table2[[#This Row],[Date]])/3,0)</f>
        <v>Q2</v>
      </c>
    </row>
    <row r="55" spans="1:14">
      <c r="A55" s="1">
        <v>45225</v>
      </c>
      <c r="B55" t="s">
        <v>18</v>
      </c>
      <c r="C55" s="2">
        <v>2500</v>
      </c>
      <c r="D55" s="2">
        <v>914.28571428571399</v>
      </c>
      <c r="E55" s="2">
        <v>714.28571428571433</v>
      </c>
      <c r="F55">
        <v>242</v>
      </c>
      <c r="G55">
        <v>0.84</v>
      </c>
      <c r="H55">
        <v>0.73</v>
      </c>
      <c r="I55">
        <v>0.99</v>
      </c>
      <c r="J55" t="s">
        <v>16</v>
      </c>
      <c r="K55" t="s">
        <v>23</v>
      </c>
      <c r="L55">
        <v>9</v>
      </c>
      <c r="M55" t="str">
        <f>TEXT(Table2[[#This Row],[Date]], "mmm")</f>
        <v>Oct</v>
      </c>
      <c r="N55" t="str">
        <f>"Q"&amp;ROUNDUP(MONTH(Table2[[#This Row],[Date]])/3,0)</f>
        <v>Q4</v>
      </c>
    </row>
    <row r="56" spans="1:14">
      <c r="A56" s="1">
        <v>44995</v>
      </c>
      <c r="B56" t="s">
        <v>18</v>
      </c>
      <c r="C56" s="2">
        <v>2500</v>
      </c>
      <c r="D56" s="2">
        <v>914.28571428571399</v>
      </c>
      <c r="E56" s="2">
        <v>714.28571428571433</v>
      </c>
      <c r="F56">
        <v>240</v>
      </c>
      <c r="G56">
        <v>0.93</v>
      </c>
      <c r="H56">
        <v>0.79</v>
      </c>
      <c r="I56">
        <v>0.72</v>
      </c>
      <c r="J56" t="s">
        <v>19</v>
      </c>
      <c r="K56" t="s">
        <v>25</v>
      </c>
      <c r="L56">
        <v>5</v>
      </c>
      <c r="M56" t="str">
        <f>TEXT(Table2[[#This Row],[Date]], "mmm")</f>
        <v>Mar</v>
      </c>
      <c r="N56" t="str">
        <f>"Q"&amp;ROUNDUP(MONTH(Table2[[#This Row],[Date]])/3,0)</f>
        <v>Q1</v>
      </c>
    </row>
    <row r="57" spans="1:14">
      <c r="A57" s="1">
        <v>45044</v>
      </c>
      <c r="B57" t="s">
        <v>18</v>
      </c>
      <c r="C57" s="2">
        <v>2500</v>
      </c>
      <c r="D57" s="2">
        <v>914.28571428571399</v>
      </c>
      <c r="E57" s="2">
        <v>714.28571428571433</v>
      </c>
      <c r="F57">
        <v>242</v>
      </c>
      <c r="G57">
        <v>0.84</v>
      </c>
      <c r="H57">
        <v>0.79</v>
      </c>
      <c r="I57">
        <v>0.8</v>
      </c>
      <c r="J57" t="s">
        <v>21</v>
      </c>
      <c r="K57" t="s">
        <v>14</v>
      </c>
      <c r="L57">
        <v>6</v>
      </c>
      <c r="M57" t="str">
        <f>TEXT(Table2[[#This Row],[Date]], "mmm")</f>
        <v>Apr</v>
      </c>
      <c r="N57" t="str">
        <f>"Q"&amp;ROUNDUP(MONTH(Table2[[#This Row],[Date]])/3,0)</f>
        <v>Q2</v>
      </c>
    </row>
    <row r="58" spans="1:14">
      <c r="A58" s="1">
        <v>44945</v>
      </c>
      <c r="B58" t="s">
        <v>18</v>
      </c>
      <c r="C58" s="2">
        <v>2200</v>
      </c>
      <c r="D58" s="2">
        <v>385.71428571428601</v>
      </c>
      <c r="E58" s="2">
        <v>285.71428571428572</v>
      </c>
      <c r="F58">
        <v>285</v>
      </c>
      <c r="G58">
        <v>0.85</v>
      </c>
      <c r="H58">
        <v>0.91</v>
      </c>
      <c r="I58">
        <v>0.84</v>
      </c>
      <c r="J58" t="s">
        <v>13</v>
      </c>
      <c r="K58" t="s">
        <v>17</v>
      </c>
      <c r="L58">
        <v>8</v>
      </c>
      <c r="M58" t="str">
        <f>TEXT(Table2[[#This Row],[Date]], "mmm")</f>
        <v>Jan</v>
      </c>
      <c r="N58" t="str">
        <f>"Q"&amp;ROUNDUP(MONTH(Table2[[#This Row],[Date]])/3,0)</f>
        <v>Q1</v>
      </c>
    </row>
    <row r="59" spans="1:14">
      <c r="A59" s="1">
        <v>45160</v>
      </c>
      <c r="B59" t="s">
        <v>15</v>
      </c>
      <c r="C59" s="2">
        <v>2150</v>
      </c>
      <c r="D59" s="2">
        <v>385.71428571428601</v>
      </c>
      <c r="E59" s="2">
        <v>285.71428571428572</v>
      </c>
      <c r="F59">
        <v>275</v>
      </c>
      <c r="G59">
        <v>0.86</v>
      </c>
      <c r="H59">
        <v>0.75</v>
      </c>
      <c r="I59">
        <v>0.96</v>
      </c>
      <c r="J59" t="s">
        <v>19</v>
      </c>
      <c r="K59" t="s">
        <v>20</v>
      </c>
      <c r="L59">
        <v>4</v>
      </c>
      <c r="M59" t="str">
        <f>TEXT(Table2[[#This Row],[Date]], "mmm")</f>
        <v>Aug</v>
      </c>
      <c r="N59" t="str">
        <f>"Q"&amp;ROUNDUP(MONTH(Table2[[#This Row],[Date]])/3,0)</f>
        <v>Q3</v>
      </c>
    </row>
    <row r="60" spans="1:14">
      <c r="A60" s="1">
        <v>45147</v>
      </c>
      <c r="B60" t="s">
        <v>24</v>
      </c>
      <c r="C60" s="2">
        <v>2400</v>
      </c>
      <c r="D60" s="2">
        <v>385.71428571428601</v>
      </c>
      <c r="E60" s="2">
        <v>285.71428571428572</v>
      </c>
      <c r="F60">
        <v>285</v>
      </c>
      <c r="G60">
        <v>0.96</v>
      </c>
      <c r="H60">
        <v>0.77</v>
      </c>
      <c r="I60">
        <v>0.92</v>
      </c>
      <c r="J60" t="s">
        <v>21</v>
      </c>
      <c r="K60" t="s">
        <v>23</v>
      </c>
      <c r="L60">
        <v>3</v>
      </c>
      <c r="M60" t="str">
        <f>TEXT(Table2[[#This Row],[Date]], "mmm")</f>
        <v>Aug</v>
      </c>
      <c r="N60" t="str">
        <f>"Q"&amp;ROUNDUP(MONTH(Table2[[#This Row],[Date]])/3,0)</f>
        <v>Q3</v>
      </c>
    </row>
    <row r="61" spans="1:14">
      <c r="A61" s="1">
        <v>45078</v>
      </c>
      <c r="B61" t="s">
        <v>18</v>
      </c>
      <c r="C61" s="2">
        <v>2450</v>
      </c>
      <c r="D61" s="2">
        <v>385.71428571428601</v>
      </c>
      <c r="E61" s="2">
        <v>285.71428571428572</v>
      </c>
      <c r="F61">
        <v>290</v>
      </c>
      <c r="G61">
        <v>0.99</v>
      </c>
      <c r="H61">
        <v>0.97</v>
      </c>
      <c r="I61">
        <v>0.73</v>
      </c>
      <c r="J61" t="s">
        <v>13</v>
      </c>
      <c r="K61" t="s">
        <v>25</v>
      </c>
      <c r="L61">
        <v>2</v>
      </c>
      <c r="M61" t="str">
        <f>TEXT(Table2[[#This Row],[Date]], "mmm")</f>
        <v>Jun</v>
      </c>
      <c r="N61" t="str">
        <f>"Q"&amp;ROUNDUP(MONTH(Table2[[#This Row],[Date]])/3,0)</f>
        <v>Q2</v>
      </c>
    </row>
    <row r="62" spans="1:14">
      <c r="A62" s="1">
        <v>44986</v>
      </c>
      <c r="B62" t="s">
        <v>15</v>
      </c>
      <c r="C62" s="2">
        <v>2500</v>
      </c>
      <c r="D62" s="2">
        <v>385.71428571428601</v>
      </c>
      <c r="E62" s="2">
        <v>285.71428571428572</v>
      </c>
      <c r="F62">
        <v>310</v>
      </c>
      <c r="G62">
        <v>0.77</v>
      </c>
      <c r="H62">
        <v>0.72</v>
      </c>
      <c r="I62">
        <v>0.85</v>
      </c>
      <c r="J62" t="s">
        <v>16</v>
      </c>
      <c r="K62" t="s">
        <v>14</v>
      </c>
      <c r="L62">
        <v>7</v>
      </c>
      <c r="M62" t="str">
        <f>TEXT(Table2[[#This Row],[Date]], "mmm")</f>
        <v>Mar</v>
      </c>
      <c r="N62" t="str">
        <f>"Q"&amp;ROUNDUP(MONTH(Table2[[#This Row],[Date]])/3,0)</f>
        <v>Q1</v>
      </c>
    </row>
    <row r="63" spans="1:14">
      <c r="A63" s="1">
        <v>45257</v>
      </c>
      <c r="B63" t="s">
        <v>24</v>
      </c>
      <c r="C63" s="2">
        <v>2450</v>
      </c>
      <c r="D63" s="2">
        <v>385.71428571428601</v>
      </c>
      <c r="E63" s="2">
        <v>285.71428571428572</v>
      </c>
      <c r="F63">
        <v>270</v>
      </c>
      <c r="G63">
        <v>0.77</v>
      </c>
      <c r="H63">
        <v>0.96</v>
      </c>
      <c r="I63">
        <v>0.78</v>
      </c>
      <c r="J63" t="s">
        <v>19</v>
      </c>
      <c r="K63" t="s">
        <v>17</v>
      </c>
      <c r="L63">
        <v>9</v>
      </c>
      <c r="M63" t="str">
        <f>TEXT(Table2[[#This Row],[Date]], "mmm")</f>
        <v>Nov</v>
      </c>
      <c r="N63" t="str">
        <f>"Q"&amp;ROUNDUP(MONTH(Table2[[#This Row],[Date]])/3,0)</f>
        <v>Q4</v>
      </c>
    </row>
    <row r="64" spans="1:14">
      <c r="A64" s="1">
        <v>45213</v>
      </c>
      <c r="B64" t="s">
        <v>18</v>
      </c>
      <c r="C64" s="2">
        <v>2400</v>
      </c>
      <c r="D64" s="2">
        <v>385.71428571428601</v>
      </c>
      <c r="E64" s="2">
        <v>285.71428571428572</v>
      </c>
      <c r="F64">
        <v>285</v>
      </c>
      <c r="G64">
        <v>0.78</v>
      </c>
      <c r="H64">
        <v>0.8</v>
      </c>
      <c r="I64">
        <v>0.85</v>
      </c>
      <c r="J64" t="s">
        <v>21</v>
      </c>
      <c r="K64" t="s">
        <v>20</v>
      </c>
      <c r="L64">
        <v>5</v>
      </c>
      <c r="M64" t="str">
        <f>TEXT(Table2[[#This Row],[Date]], "mmm")</f>
        <v>Oct</v>
      </c>
      <c r="N64" t="str">
        <f>"Q"&amp;ROUNDUP(MONTH(Table2[[#This Row],[Date]])/3,0)</f>
        <v>Q4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7020-28C5-4EF1-B12A-C904D13B5238}">
  <dimension ref="A2:S27"/>
  <sheetViews>
    <sheetView showGridLines="0" zoomScale="85" zoomScaleNormal="85" workbookViewId="0">
      <selection activeCell="E7" sqref="E7"/>
    </sheetView>
  </sheetViews>
  <sheetFormatPr defaultRowHeight="14.25"/>
  <cols>
    <col min="1" max="1" width="32.875" bestFit="1" customWidth="1"/>
    <col min="2" max="2" width="4.625" bestFit="1" customWidth="1"/>
    <col min="3" max="3" width="5.5" customWidth="1"/>
    <col min="4" max="4" width="13.125" bestFit="1" customWidth="1"/>
    <col min="5" max="5" width="6.625" bestFit="1" customWidth="1"/>
    <col min="6" max="6" width="12.625" bestFit="1" customWidth="1"/>
    <col min="7" max="7" width="5.5" customWidth="1"/>
    <col min="8" max="8" width="13.125" bestFit="1" customWidth="1"/>
    <col min="9" max="9" width="16.375" bestFit="1" customWidth="1"/>
    <col min="10" max="10" width="5.5" customWidth="1"/>
    <col min="11" max="11" width="13.125" bestFit="1" customWidth="1"/>
    <col min="12" max="13" width="6.625" bestFit="1" customWidth="1"/>
    <col min="14" max="14" width="5.5" customWidth="1"/>
    <col min="15" max="15" width="13.125" bestFit="1" customWidth="1"/>
    <col min="16" max="16" width="6.625" bestFit="1" customWidth="1"/>
    <col min="17" max="17" width="5.5" customWidth="1"/>
    <col min="18" max="18" width="13.125" bestFit="1" customWidth="1"/>
    <col min="19" max="19" width="7.125" bestFit="1" customWidth="1"/>
    <col min="20" max="20" width="12.375" bestFit="1" customWidth="1"/>
  </cols>
  <sheetData>
    <row r="2" spans="1:19" s="7" customFormat="1" ht="15">
      <c r="A2" s="7" t="s">
        <v>61</v>
      </c>
      <c r="D2" s="7" t="s">
        <v>42</v>
      </c>
      <c r="H2" s="7" t="s">
        <v>45</v>
      </c>
      <c r="K2" s="7" t="s">
        <v>46</v>
      </c>
      <c r="O2" s="7" t="s">
        <v>48</v>
      </c>
      <c r="R2" s="7" t="s">
        <v>49</v>
      </c>
    </row>
    <row r="3" spans="1:19">
      <c r="A3" s="3" t="s">
        <v>54</v>
      </c>
      <c r="D3" s="3" t="s">
        <v>28</v>
      </c>
      <c r="E3" t="s">
        <v>43</v>
      </c>
      <c r="F3" t="s">
        <v>44</v>
      </c>
      <c r="H3" s="3" t="s">
        <v>28</v>
      </c>
      <c r="I3" t="s">
        <v>60</v>
      </c>
      <c r="K3" s="3" t="s">
        <v>28</v>
      </c>
      <c r="L3" t="s">
        <v>43</v>
      </c>
      <c r="M3" t="s">
        <v>47</v>
      </c>
      <c r="O3" s="3" t="s">
        <v>28</v>
      </c>
      <c r="P3" t="s">
        <v>50</v>
      </c>
      <c r="R3" s="3" t="s">
        <v>28</v>
      </c>
      <c r="S3" t="s">
        <v>43</v>
      </c>
    </row>
    <row r="4" spans="1:19">
      <c r="A4" s="4" t="s">
        <v>51</v>
      </c>
      <c r="B4" s="8">
        <v>0.85555555555555574</v>
      </c>
      <c r="D4" s="4" t="s">
        <v>29</v>
      </c>
      <c r="E4" s="6">
        <v>12900</v>
      </c>
      <c r="F4" s="6">
        <v>6000.0000000000009</v>
      </c>
      <c r="H4" s="4" t="s">
        <v>29</v>
      </c>
      <c r="I4" s="5">
        <v>1435</v>
      </c>
      <c r="K4" s="4" t="s">
        <v>12</v>
      </c>
      <c r="L4" s="6">
        <v>50045</v>
      </c>
      <c r="M4" s="6">
        <v>45042.857142857159</v>
      </c>
      <c r="O4" s="4" t="s">
        <v>14</v>
      </c>
      <c r="P4" s="5">
        <v>96</v>
      </c>
      <c r="R4" s="4" t="s">
        <v>13</v>
      </c>
      <c r="S4" s="6">
        <v>30381</v>
      </c>
    </row>
    <row r="5" spans="1:19">
      <c r="A5" s="4" t="s">
        <v>52</v>
      </c>
      <c r="B5" s="8">
        <v>0.85492063492063519</v>
      </c>
      <c r="D5" s="4" t="s">
        <v>30</v>
      </c>
      <c r="E5" s="6">
        <v>11256</v>
      </c>
      <c r="F5" s="6">
        <v>24285.28571428571</v>
      </c>
      <c r="H5" s="4" t="s">
        <v>30</v>
      </c>
      <c r="I5" s="5">
        <v>185</v>
      </c>
      <c r="K5" s="4" t="s">
        <v>18</v>
      </c>
      <c r="L5" s="6">
        <v>46112</v>
      </c>
      <c r="M5" s="6">
        <v>29742.857142857156</v>
      </c>
      <c r="O5" s="4" t="s">
        <v>23</v>
      </c>
      <c r="P5" s="5">
        <v>66</v>
      </c>
      <c r="R5" s="4" t="s">
        <v>19</v>
      </c>
      <c r="S5" s="6">
        <v>63874</v>
      </c>
    </row>
    <row r="6" spans="1:19">
      <c r="A6" s="4" t="s">
        <v>53</v>
      </c>
      <c r="B6" s="8">
        <v>0.8447619047619046</v>
      </c>
      <c r="D6" s="4" t="s">
        <v>31</v>
      </c>
      <c r="E6" s="6">
        <v>11700</v>
      </c>
      <c r="F6" s="6">
        <v>9714.2857142857156</v>
      </c>
      <c r="H6" s="4" t="s">
        <v>31</v>
      </c>
      <c r="I6" s="5">
        <v>688</v>
      </c>
      <c r="K6" s="4" t="s">
        <v>15</v>
      </c>
      <c r="L6" s="6">
        <v>38283</v>
      </c>
      <c r="M6" s="6">
        <v>25300.857142857149</v>
      </c>
      <c r="O6" s="4" t="s">
        <v>17</v>
      </c>
      <c r="P6" s="5">
        <v>74</v>
      </c>
      <c r="R6" s="4" t="s">
        <v>16</v>
      </c>
      <c r="S6" s="6">
        <v>25744</v>
      </c>
    </row>
    <row r="7" spans="1:19">
      <c r="D7" s="4" t="s">
        <v>32</v>
      </c>
      <c r="E7" s="6">
        <v>10400</v>
      </c>
      <c r="F7" s="6">
        <v>13571.428571428569</v>
      </c>
      <c r="H7" s="4" t="s">
        <v>32</v>
      </c>
      <c r="I7" s="5">
        <v>810</v>
      </c>
      <c r="K7" s="4" t="s">
        <v>24</v>
      </c>
      <c r="L7" s="6">
        <v>22921</v>
      </c>
      <c r="M7" s="6">
        <v>13214.285714285725</v>
      </c>
      <c r="O7" s="4" t="s">
        <v>20</v>
      </c>
      <c r="P7" s="5">
        <v>59</v>
      </c>
      <c r="R7" s="4" t="s">
        <v>21</v>
      </c>
      <c r="S7" s="6">
        <v>23719</v>
      </c>
    </row>
    <row r="8" spans="1:19">
      <c r="D8" s="4" t="s">
        <v>33</v>
      </c>
      <c r="E8" s="6">
        <v>12995</v>
      </c>
      <c r="F8" s="6">
        <v>12571.285714285716</v>
      </c>
      <c r="H8" s="4" t="s">
        <v>33</v>
      </c>
      <c r="I8" s="5">
        <v>850</v>
      </c>
      <c r="K8" s="4" t="s">
        <v>41</v>
      </c>
      <c r="L8" s="6">
        <v>157361</v>
      </c>
      <c r="M8" s="6">
        <v>113300.85714285719</v>
      </c>
      <c r="O8" s="4" t="s">
        <v>25</v>
      </c>
      <c r="P8" s="5">
        <v>41</v>
      </c>
      <c r="R8" s="4" t="s">
        <v>22</v>
      </c>
      <c r="S8" s="6">
        <v>13643</v>
      </c>
    </row>
    <row r="9" spans="1:19">
      <c r="A9" s="4" t="s">
        <v>51</v>
      </c>
      <c r="B9" s="9">
        <f>GETPIVOTDATA("Average of Sales Completion Rate",$A$3)</f>
        <v>0.85555555555555574</v>
      </c>
      <c r="D9" s="4" t="s">
        <v>34</v>
      </c>
      <c r="E9" s="6">
        <v>13450</v>
      </c>
      <c r="F9" s="6">
        <v>12999.999999999998</v>
      </c>
      <c r="H9" s="4" t="s">
        <v>34</v>
      </c>
      <c r="I9" s="5">
        <v>991</v>
      </c>
      <c r="O9" s="4" t="s">
        <v>41</v>
      </c>
      <c r="P9" s="5">
        <v>336</v>
      </c>
      <c r="R9" s="4" t="s">
        <v>41</v>
      </c>
      <c r="S9" s="5">
        <v>157361</v>
      </c>
    </row>
    <row r="10" spans="1:19">
      <c r="A10" s="4" t="s">
        <v>55</v>
      </c>
      <c r="B10" s="9">
        <f>1-B9</f>
        <v>0.14444444444444426</v>
      </c>
      <c r="D10" s="4" t="s">
        <v>35</v>
      </c>
      <c r="E10" s="6">
        <v>11000</v>
      </c>
      <c r="F10" s="6">
        <v>20142.85714285713</v>
      </c>
      <c r="H10" s="4" t="s">
        <v>35</v>
      </c>
      <c r="I10" s="5">
        <v>300</v>
      </c>
    </row>
    <row r="11" spans="1:19">
      <c r="D11" s="4" t="s">
        <v>36</v>
      </c>
      <c r="E11" s="6">
        <v>17050</v>
      </c>
      <c r="F11" s="6">
        <v>3428.5714285714316</v>
      </c>
      <c r="H11" s="4" t="s">
        <v>36</v>
      </c>
      <c r="I11" s="5">
        <v>646</v>
      </c>
    </row>
    <row r="12" spans="1:19" ht="15">
      <c r="A12" s="4" t="s">
        <v>52</v>
      </c>
      <c r="B12" s="9">
        <f>GETPIVOTDATA("Average of Profit Completion Rate",$A$3)</f>
        <v>0.85492063492063519</v>
      </c>
      <c r="D12" s="4" t="s">
        <v>37</v>
      </c>
      <c r="E12" s="6">
        <v>3600</v>
      </c>
      <c r="F12" s="6">
        <v>9571.428571428567</v>
      </c>
      <c r="H12" s="4" t="s">
        <v>37</v>
      </c>
      <c r="I12" s="5">
        <v>190</v>
      </c>
      <c r="O12" s="11" t="s">
        <v>28</v>
      </c>
      <c r="P12" s="11" t="s">
        <v>50</v>
      </c>
      <c r="R12" s="11" t="s">
        <v>28</v>
      </c>
      <c r="S12" s="11" t="s">
        <v>43</v>
      </c>
    </row>
    <row r="13" spans="1:19">
      <c r="A13" s="4" t="s">
        <v>55</v>
      </c>
      <c r="B13" s="9">
        <f>1-B12</f>
        <v>0.14507936507936481</v>
      </c>
      <c r="D13" s="4" t="s">
        <v>38</v>
      </c>
      <c r="E13" s="6">
        <v>26729</v>
      </c>
      <c r="F13" s="6">
        <v>30142.428571428576</v>
      </c>
      <c r="H13" s="4" t="s">
        <v>38</v>
      </c>
      <c r="I13" s="5">
        <v>1450</v>
      </c>
      <c r="O13" t="str">
        <f>O4</f>
        <v>Speed</v>
      </c>
      <c r="P13">
        <f>GETPIVOTDATA("Score",$O$3,"Customer Satisfaction",O13)</f>
        <v>96</v>
      </c>
      <c r="R13" t="str">
        <f>R4</f>
        <v>Argentina</v>
      </c>
      <c r="S13" s="6">
        <f>GETPIVOTDATA("Sales",$R$3,"Country",R13)</f>
        <v>30381</v>
      </c>
    </row>
    <row r="14" spans="1:19">
      <c r="D14" s="4" t="s">
        <v>39</v>
      </c>
      <c r="E14" s="6">
        <v>22481</v>
      </c>
      <c r="F14" s="6">
        <v>20857.142857142862</v>
      </c>
      <c r="H14" s="4" t="s">
        <v>39</v>
      </c>
      <c r="I14" s="5">
        <v>1497</v>
      </c>
      <c r="O14" t="str">
        <f t="shared" ref="O14:O17" si="0">O5</f>
        <v>Service</v>
      </c>
      <c r="P14">
        <f t="shared" ref="P14:P17" si="1">GETPIVOTDATA("Score",$O$3,"Customer Satisfaction",O14)</f>
        <v>66</v>
      </c>
      <c r="R14" t="str">
        <f t="shared" ref="R14:R17" si="2">R5</f>
        <v>Brazil</v>
      </c>
      <c r="S14" s="6">
        <f>GETPIVOTDATA("Sales",$R$3,"Country",R14)</f>
        <v>63874</v>
      </c>
    </row>
    <row r="15" spans="1:19">
      <c r="A15" s="4" t="s">
        <v>53</v>
      </c>
      <c r="B15" s="9">
        <f>GETPIVOTDATA("Average of Customer Completion Rate",$A$3)</f>
        <v>0.8447619047619046</v>
      </c>
      <c r="D15" s="4" t="s">
        <v>40</v>
      </c>
      <c r="E15" s="6">
        <v>3800</v>
      </c>
      <c r="F15" s="6">
        <v>3714.2857142857147</v>
      </c>
      <c r="H15" s="4" t="s">
        <v>40</v>
      </c>
      <c r="I15" s="5">
        <v>318</v>
      </c>
      <c r="O15" t="str">
        <f t="shared" si="0"/>
        <v>Quality</v>
      </c>
      <c r="P15">
        <f t="shared" si="1"/>
        <v>74</v>
      </c>
      <c r="R15" t="str">
        <f t="shared" si="2"/>
        <v>Colombia</v>
      </c>
      <c r="S15" s="6">
        <f>GETPIVOTDATA("Sales",$R$3,"Country",R15)</f>
        <v>25744</v>
      </c>
    </row>
    <row r="16" spans="1:19">
      <c r="A16" s="4" t="s">
        <v>55</v>
      </c>
      <c r="B16" s="9">
        <f>1-B15</f>
        <v>0.1552380952380954</v>
      </c>
      <c r="D16" s="4" t="s">
        <v>41</v>
      </c>
      <c r="E16" s="6">
        <v>157361</v>
      </c>
      <c r="F16" s="6">
        <v>166999</v>
      </c>
      <c r="H16" s="4" t="s">
        <v>41</v>
      </c>
      <c r="I16" s="5">
        <v>9360</v>
      </c>
      <c r="O16" t="str">
        <f t="shared" si="0"/>
        <v>Hygiene</v>
      </c>
      <c r="P16">
        <f t="shared" si="1"/>
        <v>59</v>
      </c>
      <c r="R16" t="str">
        <f t="shared" si="2"/>
        <v>Ecuador</v>
      </c>
      <c r="S16" s="6">
        <f>GETPIVOTDATA("Sales",$R$3,"Country",R16)</f>
        <v>23719</v>
      </c>
    </row>
    <row r="17" spans="1:19">
      <c r="O17" t="str">
        <f t="shared" si="0"/>
        <v>Availability</v>
      </c>
      <c r="P17">
        <f t="shared" si="1"/>
        <v>41</v>
      </c>
      <c r="R17" t="str">
        <f t="shared" si="2"/>
        <v>Peru</v>
      </c>
      <c r="S17" s="6">
        <f>GETPIVOTDATA("Sales",$R$3,"Country",R17)</f>
        <v>13643</v>
      </c>
    </row>
    <row r="18" spans="1:19">
      <c r="A18" s="4" t="s">
        <v>62</v>
      </c>
      <c r="B18" s="9">
        <f>GETPIVOTDATA(" Sales",$D$3)/GETPIVOTDATA(" Target Sales",$D$3)</f>
        <v>0.94228707956335067</v>
      </c>
    </row>
    <row r="19" spans="1:19">
      <c r="A19" s="4" t="s">
        <v>55</v>
      </c>
      <c r="B19" s="8">
        <f>1-B18</f>
        <v>5.7712920436649329E-2</v>
      </c>
    </row>
    <row r="23" spans="1:19" ht="15">
      <c r="A23" s="11" t="s">
        <v>56</v>
      </c>
      <c r="B23" s="11" t="s">
        <v>59</v>
      </c>
    </row>
    <row r="24" spans="1:19">
      <c r="A24" t="s">
        <v>2</v>
      </c>
      <c r="B24" s="10">
        <f>GETPIVOTDATA(" Sales",$K$3)</f>
        <v>157361</v>
      </c>
    </row>
    <row r="25" spans="1:19">
      <c r="A25" t="s">
        <v>57</v>
      </c>
      <c r="B25" s="10">
        <f>GETPIVOTDATA(" Profit",$K$3)</f>
        <v>113300.85714285719</v>
      </c>
    </row>
    <row r="26" spans="1:19">
      <c r="A26" t="s">
        <v>58</v>
      </c>
      <c r="B26" s="5">
        <f>GETPIVOTDATA("No of Customers",$H$3)</f>
        <v>9360</v>
      </c>
    </row>
    <row r="27" spans="1:19">
      <c r="A27" t="s">
        <v>4</v>
      </c>
      <c r="B27" s="10">
        <f>GETPIVOTDATA(" Target Sales",$D$3)</f>
        <v>166999</v>
      </c>
    </row>
  </sheetData>
  <pageMargins left="0.7" right="0.7" top="0.75" bottom="0.75" header="0.3" footer="0.3"/>
  <pageSetup orientation="portrait" horizontalDpi="0" verticalDpi="0"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87C1-1475-4598-8F66-51FE05986AA8}">
  <dimension ref="A1"/>
  <sheetViews>
    <sheetView showGridLines="0" tabSelected="1" zoomScale="85" zoomScaleNormal="85" workbookViewId="0">
      <selection activeCell="Y20" sqref="Y20"/>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Justine Abigail Santillan</cp:lastModifiedBy>
  <dcterms:created xsi:type="dcterms:W3CDTF">2025-01-31T08:22:50Z</dcterms:created>
  <dcterms:modified xsi:type="dcterms:W3CDTF">2026-07-31T12:32:41Z</dcterms:modified>
</cp:coreProperties>
</file>